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f157fb9c0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模型" sheetId="1" r:id="Rcdebca0e94154201"/>
    <x:sheet xmlns:r="http://schemas.openxmlformats.org/officeDocument/2006/relationships" name="参数" sheetId="2" r:id="R5a552b8b61674133"/>
    <x:sheet xmlns:r="http://schemas.openxmlformats.org/officeDocument/2006/relationships" name="敏感性" sheetId="3" r:id="R0c793cfb82a34bae"/>
    <x:sheet xmlns:r="http://schemas.openxmlformats.org/officeDocument/2006/relationships" name="图表原始数据" sheetId="4" r:id="Recbd9418cb844a08"/>
    <x:sheet xmlns:r="http://schemas.openxmlformats.org/officeDocument/2006/relationships" name="机柜与能源" sheetId="5" r:id="Rcac96092fe9c49cb"/>
    <x:sheet xmlns:r="http://schemas.openxmlformats.org/officeDocument/2006/relationships" name="运营与现金流" sheetId="6" r:id="Reff7c35eb33546e5"/>
    <x:sheet xmlns:r="http://schemas.openxmlformats.org/officeDocument/2006/relationships" name="资料案例" sheetId="7" r:id="R03c119e60933458e"/>
    <x:sheet xmlns:r="http://schemas.openxmlformats.org/officeDocument/2006/relationships" name="Bernstein原表复算" sheetId="8" r:id="Rd3dc83ec6714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;(#,##0.00);&quot;-&quot;"/>
    <x:numFmt numFmtId="201" formatCode="0.0%"/>
    <x:numFmt numFmtId="202" formatCode="0.0000"/>
    <x:numFmt numFmtId="203" formatCode="#,##0.00"/>
    <x:numFmt numFmtId="204" formatCode="0.00"/>
    <x:numFmt numFmtId="205" formatCode="#,##0"/>
    <x:numFmt numFmtId="206" formatCode="0.0"/>
    <x:numFmt numFmtId="207" formatCode="0.000"/>
    <x:numFmt numFmtId="208" formatCode="0.00000"/>
  </x:numFmts>
  <x:fonts count="5">
    <x:font>
      <x:sz val="11"/>
      <x:name val="Carlito"/>
    </x:font>
    <x:font>
      <x:sz val="11"/>
      <x:color rgb="FF083858"/>
      <x:name val="Arial"/>
    </x:font>
    <x:font>
      <x:b/>
      <x:sz val="16"/>
      <x:color rgb="FF083858"/>
      <x:name val="Arial"/>
    </x:font>
    <x:font>
      <x:b/>
      <x:sz val="11"/>
      <x:color rgb="FFFFFFFF"/>
      <x:name val="Arial"/>
    </x:font>
    <x:font>
      <x:sz val="11"/>
      <x:color rgb="FF0071C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83858"/>
      </x:patternFill>
    </x:fill>
    <x:fill>
      <x:patternFill patternType="solid">
        <x:fgColor rgb="FFFFF9E8"/>
      </x:patternFill>
    </x:fill>
    <x:fill>
      <x:patternFill patternType="solid">
        <x:fgColor rgb="FFEDF6FC"/>
      </x:patternFill>
    </x:fill>
  </x:fills>
  <x:borders count="2">
    <x:border/>
    <x:border>
      <x:bottom style="thin">
        <x:color rgb="FF0071C5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7" fontId="4" fillId="3" borderId="0" xfId="0" applyNumberFormat="1" applyFont="1" applyFill="1" applyBorder="1" applyAlignment="1">
      <x:alignment vertical="center"/>
    </x:xf>
    <x:xf numFmtId="208" fontId="1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a7bcc44914f39" /><Relationship Type="http://schemas.openxmlformats.org/officeDocument/2006/relationships/theme" Target="/xl/theme/theme1.xml" Id="R07f6c07bff4e4d06" /><Relationship Type="http://schemas.openxmlformats.org/officeDocument/2006/relationships/sharedStrings" Target="/xl/sharedStrings.xml" Id="Raea5a2237ca54c0c" /><Relationship Type="http://schemas.openxmlformats.org/officeDocument/2006/relationships/worksheet" Target="/xl/worksheets/sheet1.xml" Id="Rcdebca0e94154201" /><Relationship Type="http://schemas.openxmlformats.org/officeDocument/2006/relationships/worksheet" Target="/xl/worksheets/sheet2.xml" Id="R5a552b8b61674133" /><Relationship Type="http://schemas.openxmlformats.org/officeDocument/2006/relationships/worksheet" Target="/xl/worksheets/sheet3.xml" Id="R0c793cfb82a34bae" /><Relationship Type="http://schemas.openxmlformats.org/officeDocument/2006/relationships/worksheet" Target="/xl/worksheets/sheet4.xml" Id="Recbd9418cb844a08" /><Relationship Type="http://schemas.openxmlformats.org/officeDocument/2006/relationships/worksheet" Target="/xl/worksheets/sheet5.xml" Id="Rcac96092fe9c49cb" /><Relationship Type="http://schemas.openxmlformats.org/officeDocument/2006/relationships/worksheet" Target="/xl/worksheets/sheet6.xml" Id="Reff7c35eb33546e5" /><Relationship Type="http://schemas.openxmlformats.org/officeDocument/2006/relationships/worksheet" Target="/xl/worksheets/sheet7.xml" Id="R03c119e60933458e" /><Relationship Type="http://schemas.openxmlformats.org/officeDocument/2006/relationships/worksheet" Target="/xl/worksheets/sheet8.xml" Id="Rd3dc83ec671440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3858"/>
  </x:sheetPr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8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4" t="str">
        <x:v>数据中心成本模型</x:v>
      </x:c>
      <x:c r="B2" s="4"/>
      <x:c r="C2" s="4"/>
      <x:c r="D2" s="4"/>
      <x:c r="E2" s="2"/>
      <x:c r="F2" s="2"/>
      <x:c r="G2" s="2"/>
      <x:c r="H2" s="2"/>
    </x:row>
    <x:row r="3" ht="23" customHeight="1">
      <x:c r="A3" s="2" t="str">
        <x:v>100MW基准可修改。金额为美元，设备时间只在同一参考配置内可比。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7" customHeight="1">
      <x:c r="A5" s="6" t="str">
        <x:v>主要结果</x:v>
      </x:c>
      <x:c r="B5" s="6" t="str">
        <x:v>计算值</x:v>
      </x:c>
      <x:c r="C5" s="6" t="str">
        <x:v>单位</x:v>
      </x:c>
      <x:c r="D5" s="6" t="str">
        <x:v>解释</x:v>
      </x:c>
      <x:c r="E5" s="2"/>
      <x:c r="F5" s="2"/>
      <x:c r="G5" s="2"/>
      <x:c r="H5" s="2"/>
    </x:row>
    <x:row r="6" ht="23" customHeight="1">
      <x:c r="A6" s="2" t="str">
        <x:v>初始资本支出</x:v>
      </x:c>
      <x:c r="B6" s="15" t="n">
        <x:f>SUM('参数'!B14:B18)</x:f>
        <x:v>4850000000</x:v>
      </x:c>
      <x:c r="C6" s="2" t="str">
        <x:v>USD</x:v>
      </x:c>
      <x:c r="D6" s="2" t="str">
        <x:v>设施、接入、土地、服务器和集群网络</x:v>
      </x:c>
      <x:c r="E6" s="2"/>
      <x:c r="F6" s="2"/>
      <x:c r="G6" s="2"/>
      <x:c r="H6" s="2"/>
    </x:row>
    <x:row r="7" ht="23" customHeight="1">
      <x:c r="A7" s="2" t="str">
        <x:v>年度总成本</x:v>
      </x:c>
      <x:c r="B7" s="15" t="n">
        <x:f>SUM(B23:B30)</x:f>
        <x:v>1167777119.4007535</x:v>
      </x:c>
      <x:c r="C7" s="2" t="str">
        <x:v>USD/年</x:v>
      </x:c>
      <x:c r="D7" s="2" t="str">
        <x:v>含年化资本与年度运营</x:v>
      </x:c>
      <x:c r="E7" s="2"/>
      <x:c r="F7" s="2"/>
      <x:c r="G7" s="2"/>
      <x:c r="H7" s="2"/>
    </x:row>
    <x:row r="8" ht="23" customHeight="1">
      <x:c r="A8" s="2" t="str">
        <x:v>单位有效设备时间成本</x:v>
      </x:c>
      <x:c r="B8" s="17" t="n">
        <x:f>IF(OR(B36&lt;=0,COUNT('参数'!B6:B25)&lt;20),NA(),B7/B36)</x:f>
        <x:v>4.101781241309285</x:v>
      </x:c>
      <x:c r="C8" s="2" t="str">
        <x:v>USD/小时</x:v>
      </x:c>
      <x:c r="D8" s="2" t="str">
        <x:v>非某款GPU报价；缺参或分母无效显示不可用</x:v>
      </x:c>
      <x:c r="E8" s="2"/>
      <x:c r="F8" s="2"/>
      <x:c r="G8" s="2"/>
      <x:c r="H8" s="2"/>
    </x:row>
    <x:row r="9" ht="23" customHeight="1">
      <x:c r="A9" s="2" t="str">
        <x:v>年设施用电量</x:v>
      </x:c>
      <x:c r="B9" s="15" t="n">
        <x:f>B33</x:f>
        <x:v>766500000</x:v>
      </x:c>
      <x:c r="C9" s="2" t="str">
        <x:v>kWh</x:v>
      </x:c>
      <x:c r="D9" s="2" t="str">
        <x:v>平均IT功率负荷与全年PUE决定</x:v>
      </x:c>
      <x:c r="E9" s="2"/>
      <x:c r="F9" s="2"/>
      <x:c r="G9" s="2"/>
      <x:c r="H9" s="2"/>
    </x:row>
    <x:row r="10" ht="23" customHeight="1">
      <x:c r="A10" s="2" t="str">
        <x:v>有效设备服务时间</x:v>
      </x:c>
      <x:c r="B10" s="15" t="n">
        <x:f>B36</x:f>
        <x:v>284700000</x:v>
      </x:c>
      <x:c r="C10" s="2" t="str">
        <x:v>小时/年</x:v>
      </x:c>
      <x:c r="D10" s="2" t="str">
        <x:v>不等同FLOPS、Token或合格任务量</x:v>
      </x:c>
      <x:c r="E10" s="2"/>
      <x:c r="F10" s="2"/>
      <x:c r="G10" s="2"/>
      <x:c r="H10" s="2"/>
    </x:row>
    <x:row r="11" ht="23" customHeight="1">
      <x:c r="A11" s="2" t="str">
        <x:v>IT资本年化占比</x:v>
      </x:c>
      <x:c r="B11" s="16" t="n">
        <x:f>(B23+B24)/B7</x:f>
        <x:v>0.7506548779049163</x:v>
      </x:c>
      <x:c r="C11" s="2" t="str"/>
      <x:c r="D11" s="2" t="str">
        <x:v>服务器和集群网络</x:v>
      </x:c>
      <x:c r="E11" s="2"/>
      <x:c r="F11" s="2"/>
      <x:c r="G11" s="2"/>
      <x:c r="H11" s="2"/>
    </x:row>
    <x:row r="12" ht="23" customHeight="1">
      <x:c r="A12" s="2" t="str">
        <x:v>电力费用占比</x:v>
      </x:c>
      <x:c r="B12" s="16" t="n">
        <x:f>(B27+B28)/B7</x:f>
        <x:v>0.06792392031169713</x:v>
      </x:c>
      <x:c r="C12" s="2" t="str"/>
      <x:c r="D12" s="2" t="str">
        <x:v>电量费+计费需量</x:v>
      </x:c>
      <x:c r="E12" s="2"/>
      <x:c r="F12" s="2"/>
      <x:c r="G12" s="2"/>
      <x:c r="H12" s="2"/>
    </x:row>
    <x:row r="13" ht="23" customHeight="1">
      <x:c r="A13" s="2" t="str">
        <x:v>设施账户年度成本</x:v>
      </x:c>
      <x:c r="B13" s="15" t="n">
        <x:f>SUM(B25:B28)+B30+'参数'!B23</x:f>
        <x:v>271179528.416826</x:v>
      </x:c>
      <x:c r="C13" s="2" t="str">
        <x:v>USD/年</x:v>
      </x:c>
      <x:c r="D13" s="2" t="str">
        <x:v>剔除IT资本和IT运营分摊；含设施水电</x:v>
      </x:c>
      <x:c r="E13" s="2"/>
      <x:c r="F13" s="2"/>
      <x:c r="G13" s="2"/>
      <x:c r="H13" s="2"/>
    </x:row>
    <x:row r="14" ht="23" customHeight="1">
      <x:c r="A14" s="2" t="str">
        <x:v>设施账户中电费占比</x:v>
      </x:c>
      <x:c r="B14" s="16" t="n">
        <x:f>SUM(B27:B28)/B13</x:f>
        <x:v>0.2924999555205303</x:v>
      </x:c>
      <x:c r="C14" s="2" t="str"/>
      <x:c r="D14" s="2" t="str">
        <x:v>与含IT全成本的观察边界不同</x:v>
      </x:c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11" t="str">
        <x:v>年化法近似持续更新并提供服务的系统，不是固定15年退出的现金流。不要再加入相同资产的折旧、全部更新支出或债务利息。</x:v>
      </x:c>
      <x:c r="B17" s="11"/>
      <x:c r="C17" s="11"/>
      <x:c r="D17" s="11"/>
      <x:c r="E17" s="2"/>
      <x:c r="F17" s="2"/>
      <x:c r="G17" s="2"/>
      <x:c r="H17" s="2"/>
    </x:row>
    <x:row r="18" ht="23" customHeight="1">
      <x:c r="A18" s="11"/>
      <x:c r="B18" s="11"/>
      <x:c r="C18" s="11"/>
      <x:c r="D18" s="11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7" customHeight="1">
      <x:c r="A22" s="6" t="str">
        <x:v>年度成本构成</x:v>
      </x:c>
      <x:c r="B22" s="6" t="str">
        <x:v>计算值</x:v>
      </x:c>
      <x:c r="C22" s="6" t="str">
        <x:v>单位</x:v>
      </x:c>
      <x:c r="D22" s="6" t="str">
        <x:v>计算方法</x:v>
      </x:c>
      <x:c r="E22" s="2"/>
      <x:c r="F22" s="2"/>
      <x:c r="G22" s="2"/>
      <x:c r="H22" s="2"/>
    </x:row>
    <x:row r="23" ht="23" customHeight="1">
      <x:c r="A23" s="2" t="str">
        <x:v>服务器资本年化</x:v>
      </x:c>
      <x:c r="B23" s="12" t="n">
        <x:f>'参数'!B17*B38</x:f>
        <x:v>751369363.7005092</x:v>
      </x:c>
      <x:c r="C23" s="2" t="str">
        <x:v>USD/年</x:v>
      </x:c>
      <x:c r="D23" s="2" t="str">
        <x:v>采购额×IT资本回收系数</x:v>
      </x:c>
      <x:c r="E23" s="2"/>
      <x:c r="F23" s="2"/>
      <x:c r="G23" s="2"/>
      <x:c r="H23" s="2"/>
    </x:row>
    <x:row r="24" ht="23" customHeight="1">
      <x:c r="A24" s="2" t="str">
        <x:v>集群网络资本年化</x:v>
      </x:c>
      <x:c r="B24" s="12" t="n">
        <x:f>'参数'!B18*B38</x:f>
        <x:v>125228227.28341821</x:v>
      </x:c>
      <x:c r="C24" s="2" t="str">
        <x:v>USD/年</x:v>
      </x:c>
      <x:c r="D24" s="2" t="str">
        <x:v>采购额×IT资本回收系数</x:v>
      </x:c>
      <x:c r="E24" s="2"/>
      <x:c r="F24" s="2"/>
      <x:c r="G24" s="2"/>
      <x:c r="H24" s="2"/>
    </x:row>
    <x:row r="25" ht="23" customHeight="1">
      <x:c r="A25" s="2" t="str">
        <x:v>设施与接入资本年化</x:v>
      </x:c>
      <x:c r="B25" s="12" t="n">
        <x:f>('参数'!B14+'参数'!B15)*B39</x:f>
        <x:v>151878408.41682598</x:v>
      </x:c>
      <x:c r="C25" s="2" t="str">
        <x:v>USD/年</x:v>
      </x:c>
      <x:c r="D25" s="2" t="str">
        <x:v>设施+接入×设施资本回收系数</x:v>
      </x:c>
      <x:c r="E25" s="2"/>
      <x:c r="F25" s="2"/>
      <x:c r="G25" s="2"/>
      <x:c r="H25" s="2"/>
    </x:row>
    <x:row r="26" ht="23" customHeight="1">
      <x:c r="A26" s="2" t="str">
        <x:v>土地机会成本</x:v>
      </x:c>
      <x:c r="B26" s="12" t="n">
        <x:f>'参数'!B16*'参数'!B21</x:f>
        <x:v>4000000</x:v>
      </x:c>
      <x:c r="C26" s="2" t="str">
        <x:v>USD/年</x:v>
      </x:c>
      <x:c r="D26" s="2" t="str">
        <x:v>土地资本×资金成本率</x:v>
      </x:c>
      <x:c r="E26" s="2"/>
      <x:c r="F26" s="2"/>
      <x:c r="G26" s="2"/>
      <x:c r="H26" s="2"/>
    </x:row>
    <x:row r="27" ht="23" customHeight="1">
      <x:c r="A27" s="2" t="str">
        <x:v>电量费</x:v>
      </x:c>
      <x:c r="B27" s="12" t="n">
        <x:f>B33*'参数'!B11</x:f>
        <x:v>61320000</x:v>
      </x:c>
      <x:c r="C27" s="2" t="str">
        <x:v>USD/年</x:v>
      </x:c>
      <x:c r="D27" s="2" t="str">
        <x:v>设施用电量×电量单价</x:v>
      </x:c>
      <x:c r="E27" s="2"/>
      <x:c r="F27" s="2"/>
      <x:c r="G27" s="2"/>
      <x:c r="H27" s="2"/>
    </x:row>
    <x:row r="28" ht="23" customHeight="1">
      <x:c r="A28" s="2" t="str">
        <x:v>计费需量费用</x:v>
      </x:c>
      <x:c r="B28" s="12" t="n">
        <x:f>'参数'!B12*'参数'!B13*12</x:f>
        <x:v>18000000</x:v>
      </x:c>
      <x:c r="C28" s="2" t="str">
        <x:v>USD/年</x:v>
      </x:c>
      <x:c r="D28" s="2" t="str">
        <x:v>计费kW×月费率×12</x:v>
      </x:c>
      <x:c r="E28" s="2"/>
      <x:c r="F28" s="2"/>
      <x:c r="G28" s="2"/>
      <x:c r="H28" s="2"/>
    </x:row>
    <x:row r="29" ht="23" customHeight="1">
      <x:c r="A29" s="2" t="str">
        <x:v>其他运营支出</x:v>
      </x:c>
      <x:c r="B29" s="12" t="n">
        <x:f>'参数'!B22</x:f>
        <x:v>55000000</x:v>
      </x:c>
      <x:c r="C29" s="2" t="str">
        <x:v>USD/年</x:v>
      </x:c>
      <x:c r="D29" s="2" t="str">
        <x:v>不含水电与重复资本回收</x:v>
      </x:c>
      <x:c r="E29" s="2"/>
      <x:c r="F29" s="2"/>
      <x:c r="G29" s="2"/>
      <x:c r="H29" s="2"/>
    </x:row>
    <x:row r="30" ht="23" customHeight="1">
      <x:c r="A30" s="2" t="str">
        <x:v>现场水费</x:v>
      </x:c>
      <x:c r="B30" s="12" t="n">
        <x:f>B34*'参数'!B25</x:f>
        <x:v>981120</x:v>
      </x:c>
      <x:c r="C30" s="2" t="str">
        <x:v>USD/年</x:v>
      </x:c>
      <x:c r="D30" s="2" t="str">
        <x:v>现场水量×水价</x:v>
      </x:c>
      <x:c r="E30" s="2"/>
      <x:c r="F30" s="2"/>
      <x:c r="G30" s="2"/>
      <x:c r="H30" s="2"/>
    </x:row>
    <x:row r="31" ht="23" customHeight="1">
      <x:c r="A31" s="2"/>
      <x:c r="B31" s="12"/>
      <x:c r="C31" s="2"/>
      <x:c r="D31" s="2"/>
      <x:c r="E31" s="2"/>
      <x:c r="F31" s="2"/>
      <x:c r="G31" s="2"/>
      <x:c r="H31" s="2"/>
    </x:row>
    <x:row r="32" ht="23" customHeight="1">
      <x:c r="A32" s="2" t="str">
        <x:v>IT年用电量</x:v>
      </x:c>
      <x:c r="B32" s="12" t="n">
        <x:f>'参数'!B6*1000*'参数'!B8*8760</x:f>
        <x:v>613200000</x:v>
      </x:c>
      <x:c r="C32" s="2" t="str">
        <x:v>kWh</x:v>
      </x:c>
      <x:c r="D32" s="2"/>
      <x:c r="E32" s="2"/>
      <x:c r="F32" s="2"/>
      <x:c r="G32" s="2"/>
      <x:c r="H32" s="2"/>
    </x:row>
    <x:row r="33" ht="23" customHeight="1">
      <x:c r="A33" s="2" t="str">
        <x:v>设施年用电量</x:v>
      </x:c>
      <x:c r="B33" s="12" t="n">
        <x:f>B32*'参数'!B9</x:f>
        <x:v>766500000</x:v>
      </x:c>
      <x:c r="C33" s="2" t="str">
        <x:v>kWh</x:v>
      </x:c>
      <x:c r="D33" s="2"/>
      <x:c r="E33" s="2"/>
      <x:c r="F33" s="2"/>
      <x:c r="G33" s="2"/>
      <x:c r="H33" s="2"/>
    </x:row>
    <x:row r="34" ht="23" customHeight="1">
      <x:c r="A34" s="2" t="str">
        <x:v>现场年用水量</x:v>
      </x:c>
      <x:c r="B34" s="12" t="n">
        <x:f>B32*'参数'!B24/1000</x:f>
        <x:v>490560</x:v>
      </x:c>
      <x:c r="C34" s="2" t="str">
        <x:v>m³</x:v>
      </x:c>
      <x:c r="D34" s="2"/>
      <x:c r="E34" s="2"/>
      <x:c r="F34" s="2"/>
      <x:c r="G34" s="2"/>
      <x:c r="H34" s="2"/>
    </x:row>
    <x:row r="35" ht="23" customHeight="1">
      <x:c r="A35" s="2" t="str">
        <x:v>设备理论年小时</x:v>
      </x:c>
      <x:c r="B35" s="12" t="n">
        <x:f>'参数'!B7*8760</x:f>
        <x:v>438000000</x:v>
      </x:c>
      <x:c r="C35" s="2" t="str">
        <x:v>小时</x:v>
      </x:c>
      <x:c r="D35" s="2"/>
      <x:c r="E35" s="2"/>
      <x:c r="F35" s="2"/>
      <x:c r="G35" s="2"/>
      <x:c r="H35" s="2"/>
    </x:row>
    <x:row r="36" ht="23" customHeight="1">
      <x:c r="A36" s="2" t="str">
        <x:v>有效设备服务小时</x:v>
      </x:c>
      <x:c r="B36" s="12" t="n">
        <x:f>B35*'参数'!B10</x:f>
        <x:v>284700000</x:v>
      </x:c>
      <x:c r="C36" s="2" t="str">
        <x:v>小时</x:v>
      </x:c>
      <x:c r="D36" s="2"/>
      <x:c r="E36" s="2"/>
      <x:c r="F36" s="2"/>
      <x:c r="G36" s="2"/>
      <x:c r="H36" s="2"/>
    </x:row>
    <x:row r="37" ht="23" customHeight="1">
      <x:c r="A37" s="2"/>
      <x:c r="B37" s="12"/>
      <x:c r="C37" s="2"/>
      <x:c r="D37" s="2"/>
      <x:c r="E37" s="2"/>
      <x:c r="F37" s="2"/>
      <x:c r="G37" s="2"/>
      <x:c r="H37" s="2"/>
    </x:row>
    <x:row r="38" ht="23" customHeight="1">
      <x:c r="A38" s="2" t="str">
        <x:v>IT资本回收系数</x:v>
      </x:c>
      <x:c r="B38" s="14" t="n">
        <x:f>IF('参数'!B21=0,1/'参数'!B20,'参数'!B21*(1+'参数'!B21)^'参数'!B20/((1+'参数'!B21)^'参数'!B20-1))</x:f>
        <x:v>0.2504564545668364</x:v>
      </x:c>
      <x:c r="C38" s="2" t="str"/>
      <x:c r="D38" s="2"/>
      <x:c r="E38" s="2"/>
      <x:c r="F38" s="2"/>
      <x:c r="G38" s="2"/>
      <x:c r="H38" s="2"/>
    </x:row>
    <x:row r="39" ht="23" customHeight="1">
      <x:c r="A39" s="2" t="str">
        <x:v>设施资本回收系数</x:v>
      </x:c>
      <x:c r="B39" s="14" t="n">
        <x:f>IF('参数'!B21=0,1/'参数'!B19,'参数'!B21*(1+'参数'!B21)^'参数'!B19/((1+'参数'!B21)^'参数'!B19-1))</x:f>
        <x:v>0.11682954493601999</x:v>
      </x:c>
      <x:c r="C39" s="2" t="str"/>
      <x:c r="D39" s="2"/>
      <x:c r="E39" s="2"/>
      <x:c r="F39" s="2"/>
      <x:c r="G39" s="2"/>
      <x:c r="H39" s="2"/>
    </x:row>
    <x:row r="40" ht="23" customHeight="1">
      <x:c r="A40" s="2" t="str">
        <x:v>账单平均电力成本</x:v>
      </x:c>
      <x:c r="B40" s="14" t="n">
        <x:f>SUM(B27:B28)/B33</x:f>
        <x:v>0.10348336594911937</x:v>
      </x:c>
      <x:c r="C40" s="2" t="str">
        <x:v>USD/kWh</x:v>
      </x:c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</x:sheetData>
  <x:mergeCells>
    <x:mergeCell ref="A3:D3"/>
    <x:mergeCell ref="A17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1C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8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4" t="str">
        <x:v>成本参数（全部为研究假设）</x:v>
      </x:c>
      <x:c r="B2" s="4"/>
      <x:c r="C2" s="4"/>
      <x:c r="D2" s="4"/>
      <x:c r="E2" s="2"/>
      <x:c r="F2" s="2"/>
      <x:c r="G2" s="2"/>
      <x:c r="H2" s="2"/>
    </x:row>
    <x:row r="3" ht="23" customHeight="1">
      <x:c r="A3" s="2" t="str">
        <x:v>蓝字为可改输入；非报价。更改会更新成本模型与敏感性。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7" customHeight="1">
      <x:c r="A5" s="6" t="str">
        <x:v>参数</x:v>
      </x:c>
      <x:c r="B5" s="6" t="str">
        <x:v>数值</x:v>
      </x:c>
      <x:c r="C5" s="6" t="str">
        <x:v>单位</x:v>
      </x:c>
      <x:c r="D5" s="6" t="str">
        <x:v>范围与定义</x:v>
      </x:c>
      <x:c r="E5" s="2"/>
      <x:c r="F5" s="2"/>
      <x:c r="G5" s="2"/>
      <x:c r="H5" s="2"/>
    </x:row>
    <x:row r="6" ht="36" customHeight="1">
      <x:c r="A6" s="2" t="str">
        <x:v>关键IT容量</x:v>
      </x:c>
      <x:c r="B6" s="9" t="n">
        <x:v>100</x:v>
      </x:c>
      <x:c r="C6" s="2" t="str">
        <x:v>MW</x:v>
      </x:c>
      <x:c r="D6" s="11" t="str">
        <x:v>全部参考IT系统容量</x:v>
      </x:c>
      <x:c r="E6" s="2"/>
      <x:c r="F6" s="2"/>
      <x:c r="G6" s="2"/>
      <x:c r="H6" s="2"/>
    </x:row>
    <x:row r="7" ht="36" customHeight="1">
      <x:c r="A7" s="2" t="str">
        <x:v>参考加速器单元</x:v>
      </x:c>
      <x:c r="B7" s="9" t="n">
        <x:v>50000</x:v>
      </x:c>
      <x:c r="C7" s="2" t="str">
        <x:v>个</x:v>
      </x:c>
      <x:c r="D7" s="11" t="str">
        <x:v>只用于同配置设备小时核算；不指明某款GPU</x:v>
      </x:c>
      <x:c r="E7" s="2"/>
      <x:c r="F7" s="2"/>
      <x:c r="G7" s="2"/>
      <x:c r="H7" s="2"/>
    </x:row>
    <x:row r="8" ht="36" customHeight="1">
      <x:c r="A8" s="2" t="str">
        <x:v>平均IT功率负荷</x:v>
      </x:c>
      <x:c r="B8" s="10" t="n">
        <x:v>0.7</x:v>
      </x:c>
      <x:c r="C8" s="2" t="str"/>
      <x:c r="D8" s="11" t="str">
        <x:v>IT年平均功率/铭牌IT功率；不等于有效设备时间</x:v>
      </x:c>
      <x:c r="E8" s="2"/>
      <x:c r="F8" s="2"/>
      <x:c r="G8" s="2"/>
      <x:c r="H8" s="2"/>
    </x:row>
    <x:row r="9" ht="36" customHeight="1">
      <x:c r="A9" s="2" t="str">
        <x:v>全年PUE</x:v>
      </x:c>
      <x:c r="B9" s="9" t="n">
        <x:v>1.25</x:v>
      </x:c>
      <x:c r="C9" s="2" t="str"/>
      <x:c r="D9" s="11" t="str">
        <x:v>同周期总设施电量/IT电量</x:v>
      </x:c>
      <x:c r="E9" s="2"/>
      <x:c r="F9" s="2"/>
      <x:c r="G9" s="2"/>
      <x:c r="H9" s="2"/>
    </x:row>
    <x:row r="10" ht="36" customHeight="1">
      <x:c r="A10" s="2" t="str">
        <x:v>有效设备时间占比</x:v>
      </x:c>
      <x:c r="B10" s="10" t="n">
        <x:v>0.65</x:v>
      </x:c>
      <x:c r="C10" s="2" t="str"/>
      <x:c r="D10" s="11" t="str">
        <x:v>同配置有效服务设备小时/设备全年小时</x:v>
      </x:c>
      <x:c r="E10" s="2"/>
      <x:c r="F10" s="2"/>
      <x:c r="G10" s="2"/>
      <x:c r="H10" s="2"/>
    </x:row>
    <x:row r="11" ht="36" customHeight="1">
      <x:c r="A11" s="2" t="str">
        <x:v>电量单价</x:v>
      </x:c>
      <x:c r="B11" s="9" t="n">
        <x:v>0.08</x:v>
      </x:c>
      <x:c r="C11" s="2" t="str">
        <x:v>USD/kWh</x:v>
      </x:c>
      <x:c r="D11" s="11" t="str">
        <x:v>仅电量费；需量费另列</x:v>
      </x:c>
      <x:c r="E11" s="2"/>
      <x:c r="F11" s="2"/>
      <x:c r="G11" s="2"/>
      <x:c r="H11" s="2"/>
    </x:row>
    <x:row r="12" ht="36" customHeight="1">
      <x:c r="A12" s="2" t="str">
        <x:v>每月计费需量</x:v>
      </x:c>
      <x:c r="B12" s="9" t="n">
        <x:v>125000</x:v>
      </x:c>
      <x:c r="C12" s="2" t="str">
        <x:v>kW</x:v>
      </x:c>
      <x:c r="D12" s="11" t="str">
        <x:v>固定合同/计费假设；不是实测月峰值</x:v>
      </x:c>
      <x:c r="E12" s="2"/>
      <x:c r="F12" s="2"/>
      <x:c r="G12" s="2"/>
      <x:c r="H12" s="2"/>
    </x:row>
    <x:row r="13" ht="36" customHeight="1">
      <x:c r="A13" s="2" t="str">
        <x:v>需量费率</x:v>
      </x:c>
      <x:c r="B13" s="9" t="n">
        <x:v>12</x:v>
      </x:c>
      <x:c r="C13" s="2" t="str">
        <x:v>USD/kW/月</x:v>
      </x:c>
      <x:c r="D13" s="11" t="str">
        <x:v>假设12个月相同</x:v>
      </x:c>
      <x:c r="E13" s="2"/>
      <x:c r="F13" s="2"/>
      <x:c r="G13" s="2"/>
      <x:c r="H13" s="2"/>
    </x:row>
    <x:row r="14" ht="36" customHeight="1">
      <x:c r="A14" s="2" t="str">
        <x:v>设施资本支出</x:v>
      </x:c>
      <x:c r="B14" s="9" t="n">
        <x:v>1200000000</x:v>
      </x:c>
      <x:c r="C14" s="2" t="str">
        <x:v>USD</x:v>
      </x:c>
      <x:c r="D14" s="11" t="str">
        <x:v>含站内机电、建筑、项目管理及风险费用；接入另列</x:v>
      </x:c>
      <x:c r="E14" s="2"/>
      <x:c r="F14" s="2"/>
      <x:c r="G14" s="2"/>
      <x:c r="H14" s="2"/>
    </x:row>
    <x:row r="15" ht="36" customHeight="1">
      <x:c r="A15" s="2" t="str">
        <x:v>接入资本支出</x:v>
      </x:c>
      <x:c r="B15" s="9" t="n">
        <x:v>100000000</x:v>
      </x:c>
      <x:c r="C15" s="2" t="str">
        <x:v>USD</x:v>
      </x:c>
      <x:c r="D15" s="11" t="str">
        <x:v>项目承担的外部接入费用</x:v>
      </x:c>
      <x:c r="E15" s="2"/>
      <x:c r="F15" s="2"/>
      <x:c r="G15" s="2"/>
      <x:c r="H15" s="2"/>
    </x:row>
    <x:row r="16" ht="36" customHeight="1">
      <x:c r="A16" s="2" t="str">
        <x:v>土地占用资本</x:v>
      </x:c>
      <x:c r="B16" s="9" t="n">
        <x:v>50000000</x:v>
      </x:c>
      <x:c r="C16" s="2" t="str">
        <x:v>USD</x:v>
      </x:c>
      <x:c r="D16" s="11" t="str">
        <x:v>资本年化仅计机会成本</x:v>
      </x:c>
      <x:c r="E16" s="2"/>
      <x:c r="F16" s="2"/>
      <x:c r="G16" s="2"/>
      <x:c r="H16" s="2"/>
    </x:row>
    <x:row r="17" ht="36" customHeight="1">
      <x:c r="A17" s="2" t="str">
        <x:v>服务器资本支出</x:v>
      </x:c>
      <x:c r="B17" s="9" t="n">
        <x:v>3000000000</x:v>
      </x:c>
      <x:c r="C17" s="2" t="str">
        <x:v>USD</x:v>
      </x:c>
      <x:c r="D17" s="11" t="str">
        <x:v>包括主机、内存、存储等分摊；不再重复添加</x:v>
      </x:c>
      <x:c r="E17" s="2"/>
      <x:c r="F17" s="2"/>
      <x:c r="G17" s="2"/>
      <x:c r="H17" s="2"/>
    </x:row>
    <x:row r="18" ht="36" customHeight="1">
      <x:c r="A18" s="2" t="str">
        <x:v>集群网络资本支出</x:v>
      </x:c>
      <x:c r="B18" s="9" t="n">
        <x:v>500000000</x:v>
      </x:c>
      <x:c r="C18" s="2" t="str">
        <x:v>USD</x:v>
      </x:c>
      <x:c r="D18" s="11" t="str">
        <x:v>集群网络；服务器内已含部分不重复计入</x:v>
      </x:c>
      <x:c r="E18" s="2"/>
      <x:c r="F18" s="2"/>
      <x:c r="G18" s="2"/>
      <x:c r="H18" s="2"/>
    </x:row>
    <x:row r="19" ht="36" customHeight="1">
      <x:c r="A19" s="2" t="str">
        <x:v>设施及接入经济寿命</x:v>
      </x:c>
      <x:c r="B19" s="9" t="n">
        <x:v>15</x:v>
      </x:c>
      <x:c r="C19" s="2" t="str">
        <x:v>年</x:v>
      </x:c>
      <x:c r="D19" s="11" t="str">
        <x:v>持续服务年化近似；非固定退出期现金流</x:v>
      </x:c>
      <x:c r="E19" s="2"/>
      <x:c r="F19" s="2"/>
      <x:c r="G19" s="2"/>
      <x:c r="H19" s="2"/>
    </x:row>
    <x:row r="20" ht="36" customHeight="1">
      <x:c r="A20" s="2" t="str">
        <x:v>服务器及网络经济寿命</x:v>
      </x:c>
      <x:c r="B20" s="9" t="n">
        <x:v>5</x:v>
      </x:c>
      <x:c r="C20" s="2" t="str">
        <x:v>年</x:v>
      </x:c>
      <x:c r="D20" s="11" t="str">
        <x:v>不代表会计寿命或特定产品物理寿命</x:v>
      </x:c>
      <x:c r="E20" s="2"/>
      <x:c r="F20" s="2"/>
      <x:c r="G20" s="2"/>
      <x:c r="H20" s="2"/>
    </x:row>
    <x:row r="21" ht="36" customHeight="1">
      <x:c r="A21" s="2" t="str">
        <x:v>资本成本率</x:v>
      </x:c>
      <x:c r="B21" s="10" t="n">
        <x:v>0.08</x:v>
      </x:c>
      <x:c r="C21" s="2" t="str"/>
      <x:c r="D21" s="11" t="str">
        <x:v>名义、未建税盾与债务分层</x:v>
      </x:c>
      <x:c r="E21" s="2"/>
      <x:c r="F21" s="2"/>
      <x:c r="G21" s="2"/>
      <x:c r="H21" s="2"/>
    </x:row>
    <x:row r="22" ht="36" customHeight="1">
      <x:c r="A22" s="2" t="str">
        <x:v>其他年度运营支出</x:v>
      </x:c>
      <x:c r="B22" s="9" t="n">
        <x:v>55000000</x:v>
      </x:c>
      <x:c r="C22" s="2" t="str">
        <x:v>USD/年</x:v>
      </x:c>
      <x:c r="D22" s="11" t="str">
        <x:v>设施+IT+外部连接+支持等，水电另列；不含重复折旧</x:v>
      </x:c>
      <x:c r="E22" s="2"/>
      <x:c r="F22" s="2"/>
      <x:c r="G22" s="2"/>
      <x:c r="H22" s="2"/>
    </x:row>
    <x:row r="23" ht="36" customHeight="1">
      <x:c r="A23" s="2" t="str">
        <x:v>其中：设施运营支出</x:v>
      </x:c>
      <x:c r="B23" s="9" t="n">
        <x:v>35000000</x:v>
      </x:c>
      <x:c r="C23" s="2" t="str">
        <x:v>USD/年</x:v>
      </x:c>
      <x:c r="D23" s="11" t="str">
        <x:v>已包含在其他运营支出内，只用于设施视角分账</x:v>
      </x:c>
      <x:c r="E23" s="2"/>
      <x:c r="F23" s="2"/>
      <x:c r="G23" s="2"/>
      <x:c r="H23" s="2"/>
    </x:row>
    <x:row r="24" ht="36" customHeight="1">
      <x:c r="A24" s="2" t="str">
        <x:v>现场水指标</x:v>
      </x:c>
      <x:c r="B24" s="9" t="n">
        <x:v>0.8</x:v>
      </x:c>
      <x:c r="C24" s="2" t="str">
        <x:v>L/kWh IT</x:v>
      </x:c>
      <x:c r="D24" s="11" t="str">
        <x:v>现场口径假设，不含上游发电用水</x:v>
      </x:c>
      <x:c r="E24" s="2"/>
      <x:c r="F24" s="2"/>
      <x:c r="G24" s="2"/>
      <x:c r="H24" s="2"/>
    </x:row>
    <x:row r="25" ht="36" customHeight="1">
      <x:c r="A25" s="2" t="str">
        <x:v>水价</x:v>
      </x:c>
      <x:c r="B25" s="9" t="n">
        <x:v>2</x:v>
      </x:c>
      <x:c r="C25" s="2" t="str">
        <x:v>USD/m³</x:v>
      </x:c>
      <x:c r="D25" s="11" t="str">
        <x:v>现场水费示例，不含其他专项处理费</x:v>
      </x:c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 t="str">
        <x:v>模型不含收入、税后估值、土地残值变化或真实GPU服务报价。</x:v>
      </x:c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</x:sheetData>
  <x:mergeCells>
    <x:mergeCell ref="A3:D3"/>
    <x:mergeCell ref="A28:D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2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4" t="str">
        <x:v>单因素与双因素敏感性</x:v>
      </x:c>
      <x:c r="B2" s="4"/>
      <x:c r="C2" s="4"/>
      <x:c r="D2" s="4"/>
      <x:c r="E2" s="2"/>
      <x:c r="F2" s="2"/>
      <x:c r="G2" s="2"/>
      <x:c r="H2" s="2"/>
    </x:row>
    <x:row r="3" ht="23" customHeight="1">
      <x:c r="A3" s="2" t="str">
        <x:v>同一基准模型的代数敏感性；平均功率负荷固定，不是联合预测。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7" customHeight="1">
      <x:c r="A5" s="6" t="str">
        <x:v>单因素变化</x:v>
      </x:c>
      <x:c r="B5" s="6" t="str">
        <x:v>情景参数</x:v>
      </x:c>
      <x:c r="C5" s="6" t="str">
        <x:v>USD/有效设备小时</x:v>
      </x:c>
      <x:c r="D5" s="6" t="str">
        <x:v>相对基准变化</x:v>
      </x:c>
      <x:c r="E5" s="2"/>
      <x:c r="F5" s="2"/>
      <x:c r="G5" s="2"/>
      <x:c r="H5" s="2"/>
    </x:row>
    <x:row r="6" ht="23" customHeight="1">
      <x:c r="A6" s="2" t="str">
        <x:v>有效设备时间占比</x:v>
      </x:c>
      <x:c r="B6" s="20" t="n">
        <x:v>0.45</x:v>
      </x:c>
      <x:c r="C6" s="19" t="n">
        <x:f>'成本模型'!B7/('成本模型'!B35*B6)</x:f>
        <x:v>5.924795126335634</x:v>
      </x:c>
      <x:c r="D6" s="13" t="n">
        <x:f>C6/'成本模型'!B8-1</x:f>
        <x:v>0.4444444444444444</x:v>
      </x:c>
      <x:c r="E6" s="2"/>
      <x:c r="F6" s="2"/>
      <x:c r="G6" s="2"/>
      <x:c r="H6" s="2"/>
    </x:row>
    <x:row r="7" ht="23" customHeight="1">
      <x:c r="A7" s="2" t="str">
        <x:v>有效设备时间占比</x:v>
      </x:c>
      <x:c r="B7" s="20" t="n">
        <x:v>0.85</x:v>
      </x:c>
      <x:c r="C7" s="19" t="n">
        <x:f>'成本模型'!B7/('成本模型'!B35*B7)</x:f>
        <x:v>3.1366562433541594</x:v>
      </x:c>
      <x:c r="D7" s="13" t="n">
        <x:f>C7/'成本模型'!B8-1</x:f>
        <x:v>-0.23529411764705888</x:v>
      </x:c>
      <x:c r="E7" s="2"/>
      <x:c r="F7" s="2"/>
      <x:c r="G7" s="2"/>
      <x:c r="H7" s="2"/>
    </x:row>
    <x:row r="8" ht="23" customHeight="1">
      <x:c r="A8" s="2" t="str">
        <x:v>IT经济寿命</x:v>
      </x:c>
      <x:c r="B8" s="21" t="n">
        <x:v>3</x:v>
      </x:c>
      <x:c r="C8" s="19" t="n">
        <x:f>('成本模型'!B7-'成本模型'!B23-'成本模型'!B24+('参数'!B17+'参数'!B18)*IF('参数'!B21=0,1/B8,'参数'!B21*(1+'参数'!B21)^B8/((1+'参数'!B21)^B8-1)))/'成本模型'!B36</x:f>
        <x:v>5.793104417207497</x:v>
      </x:c>
      <x:c r="D8" s="13" t="n">
        <x:f>C8/'成本模型'!B8-1</x:f>
        <x:v>0.4123387075997116</x:v>
      </x:c>
      <x:c r="E8" s="2"/>
      <x:c r="F8" s="2"/>
      <x:c r="G8" s="2"/>
      <x:c r="H8" s="2"/>
    </x:row>
    <x:row r="9" ht="23" customHeight="1">
      <x:c r="A9" s="2" t="str">
        <x:v>IT经济寿命</x:v>
      </x:c>
      <x:c r="B9" s="21" t="n">
        <x:v>7</x:v>
      </x:c>
      <x:c r="C9" s="19" t="n">
        <x:f>('成本模型'!B7-'成本模型'!B23-'成本模型'!B24+('参数'!B17+'参数'!B18)*IF('参数'!B21=0,1/B9,'参数'!B21*(1+'参数'!B21)^B9/((1+'参数'!B21)^B9-1)))/'成本模型'!B36</x:f>
        <x:v>3.3840285683746494</x:v>
      </x:c>
      <x:c r="D9" s="13" t="n">
        <x:f>C9/'成本模型'!B8-1</x:f>
        <x:v>-0.17498560520636885</x:v>
      </x:c>
      <x:c r="E9" s="2"/>
      <x:c r="F9" s="2"/>
      <x:c r="G9" s="2"/>
      <x:c r="H9" s="2"/>
    </x:row>
    <x:row r="10" ht="23" customHeight="1">
      <x:c r="A10" s="2" t="str">
        <x:v>服务器采购金额</x:v>
      </x:c>
      <x:c r="B10" s="21" t="n">
        <x:v>2400000000</x:v>
      </x:c>
      <x:c r="C10" s="19" t="n">
        <x:f>('成本模型'!B7-'成本模型'!B23+B10*'成本模型'!B38)/'成本模型'!B36</x:f>
        <x:v>3.573948881842823</x:v>
      </x:c>
      <x:c r="D10" s="13" t="n">
        <x:f>C10/'成本模型'!B8-1</x:f>
        <x:v>-0.12868369335512853</x:v>
      </x:c>
      <x:c r="E10" s="2"/>
      <x:c r="F10" s="2"/>
      <x:c r="G10" s="2"/>
      <x:c r="H10" s="2"/>
    </x:row>
    <x:row r="11" ht="23" customHeight="1">
      <x:c r="A11" s="2" t="str">
        <x:v>服务器采购金额</x:v>
      </x:c>
      <x:c r="B11" s="21" t="n">
        <x:v>3600000000</x:v>
      </x:c>
      <x:c r="C11" s="19" t="n">
        <x:f>('成本模型'!B7-'成本模型'!B23+B11*'成本模型'!B38)/'成本模型'!B36</x:f>
        <x:v>4.629613600775747</x:v>
      </x:c>
      <x:c r="D11" s="13" t="n">
        <x:f>C11/'成本模型'!B8-1</x:f>
        <x:v>0.1286836933551283</x:v>
      </x:c>
      <x:c r="E11" s="2"/>
      <x:c r="F11" s="2"/>
      <x:c r="G11" s="2"/>
      <x:c r="H11" s="2"/>
    </x:row>
    <x:row r="12" ht="23" customHeight="1">
      <x:c r="A12" s="2" t="str">
        <x:v>资本成本率</x:v>
      </x:c>
      <x:c r="B12" s="20" t="n">
        <x:v>0.05</x:v>
      </x:c>
      <x:c r="C12" s="19" t="n">
        <x:f>('成本模型'!B7-SUM('成本模型'!B23:B26)+('参数'!B17+'参数'!B18)*IF(B12=0,1/'参数'!B20,B12*(1+B12)^'参数'!B20/((1+B12)^'参数'!B20-1))+('参数'!B14+'参数'!B15)*IF(B12=0,1/'参数'!B19,B12*(1+B12)^'参数'!B19/((1+B12)^'参数'!B19-1))+'参数'!B16*B12)/'成本模型'!B36</x:f>
        <x:v>3.76346289898474</x:v>
      </x:c>
      <x:c r="D12" s="13" t="n">
        <x:f>C12/'成本模型'!B8-1</x:f>
        <x:v>-0.08248083513506788</x:v>
      </x:c>
      <x:c r="E12" s="2"/>
      <x:c r="F12" s="2"/>
      <x:c r="G12" s="2"/>
      <x:c r="H12" s="2"/>
    </x:row>
    <x:row r="13" ht="23" customHeight="1">
      <x:c r="A13" s="2" t="str">
        <x:v>资本成本率</x:v>
      </x:c>
      <x:c r="B13" s="20" t="n">
        <x:v>0.12</x:v>
      </x:c>
      <x:c r="C13" s="19" t="n">
        <x:f>('成本模型'!B7-SUM('成本模型'!B23:B26)+('参数'!B17+'参数'!B18)*IF(B13=0,1/'参数'!B20,B13*(1+B13)^'参数'!B20/((1+B13)^'参数'!B20-1))+('参数'!B14+'参数'!B15)*IF(B13=0,1/'参数'!B19,B13*(1+B13)^'参数'!B19/((1+B13)^'参数'!B19-1))+'参数'!B16*B13)/'成本模型'!B36</x:f>
        <x:v>4.5771222105160545</x:v>
      </x:c>
      <x:c r="D13" s="13" t="n">
        <x:f>C13/'成本模型'!B8-1</x:f>
        <x:v>0.11588647498301019</x:v>
      </x:c>
      <x:c r="E13" s="2"/>
      <x:c r="F13" s="2"/>
      <x:c r="G13" s="2"/>
      <x:c r="H13" s="2"/>
    </x:row>
    <x:row r="14" ht="23" customHeight="1">
      <x:c r="A14" s="2" t="str">
        <x:v>设施建设金额</x:v>
      </x:c>
      <x:c r="B14" s="21" t="n">
        <x:v>900000000</x:v>
      </x:c>
      <x:c r="C14" s="19" t="n">
        <x:f>('成本模型'!B7+(B14-'参数'!B14)*'成本模型'!B39)/'成本模型'!B36</x:f>
        <x:v>3.9786731855284416</x:v>
      </x:c>
      <x:c r="D14" s="13" t="n">
        <x:f>C14/'成本模型'!B8-1</x:f>
        <x:v>-0.03001331581046185</x:v>
      </x:c>
      <x:c r="E14" s="2"/>
      <x:c r="F14" s="2"/>
      <x:c r="G14" s="2"/>
      <x:c r="H14" s="2"/>
    </x:row>
    <x:row r="15" ht="23" customHeight="1">
      <x:c r="A15" s="2" t="str">
        <x:v>设施建设金额</x:v>
      </x:c>
      <x:c r="B15" s="21" t="n">
        <x:v>1500000000</x:v>
      </x:c>
      <x:c r="C15" s="19" t="n">
        <x:f>('成本模型'!B7+(B15-'参数'!B14)*'成本模型'!B39)/'成本模型'!B36</x:f>
        <x:v>4.224889297090129</x:v>
      </x:c>
      <x:c r="D15" s="13" t="n">
        <x:f>C15/'成本模型'!B8-1</x:f>
        <x:v>0.030013315810461627</x:v>
      </x:c>
      <x:c r="E15" s="2"/>
      <x:c r="F15" s="2"/>
      <x:c r="G15" s="2"/>
      <x:c r="H15" s="2"/>
    </x:row>
    <x:row r="16" ht="23" customHeight="1">
      <x:c r="A16" s="2" t="str">
        <x:v>电量单价</x:v>
      </x:c>
      <x:c r="B16" s="21" t="n">
        <x:v>0.04</x:v>
      </x:c>
      <x:c r="C16" s="19" t="n">
        <x:f>('成本模型'!B7-'成本模型'!B27+'成本模型'!B33*B16)/'成本模型'!B36</x:f>
        <x:v>3.9940889336169776</x:v>
      </x:c>
      <x:c r="D16" s="13" t="n">
        <x:f>C16/'成本模型'!B8-1</x:f>
        <x:v>-0.0262550100448391</x:v>
      </x:c>
      <x:c r="E16" s="2"/>
      <x:c r="F16" s="2"/>
      <x:c r="G16" s="2"/>
      <x:c r="H16" s="2"/>
    </x:row>
    <x:row r="17" ht="23" customHeight="1">
      <x:c r="A17" s="2" t="str">
        <x:v>电量单价</x:v>
      </x:c>
      <x:c r="B17" s="21" t="n">
        <x:v>0.12</x:v>
      </x:c>
      <x:c r="C17" s="19" t="n">
        <x:f>('成本模型'!B7-'成本模型'!B27+'成本模型'!B33*B17)/'成本模型'!B36</x:f>
        <x:v>4.209473549001593</x:v>
      </x:c>
      <x:c r="D17" s="13" t="n">
        <x:f>C17/'成本模型'!B8-1</x:f>
        <x:v>0.026255010044838878</x:v>
      </x:c>
      <x:c r="E17" s="2"/>
      <x:c r="F17" s="2"/>
      <x:c r="G17" s="2"/>
      <x:c r="H17" s="2"/>
    </x:row>
    <x:row r="18" ht="23" customHeight="1">
      <x:c r="A18" s="2" t="str">
        <x:v>全年PUE</x:v>
      </x:c>
      <x:c r="B18" s="21" t="n">
        <x:v>1.15</x:v>
      </x:c>
      <x:c r="C18" s="19" t="n">
        <x:f>('成本模型'!B7-'成本模型'!B27+'成本模型'!B32*B18*'参数'!B11)/'成本模型'!B36</x:f>
        <x:v>4.084550472078516</x:v>
      </x:c>
      <x:c r="D18" s="13" t="n">
        <x:f>C18/'成本模型'!B8-1</x:f>
        <x:v>-0.004200801607174287</x:v>
      </x:c>
      <x:c r="E18" s="2"/>
      <x:c r="F18" s="2"/>
      <x:c r="G18" s="2"/>
      <x:c r="H18" s="2"/>
    </x:row>
    <x:row r="19" ht="23" customHeight="1">
      <x:c r="A19" s="2" t="str">
        <x:v>全年PUE</x:v>
      </x:c>
      <x:c r="B19" s="21" t="n">
        <x:v>1.4</x:v>
      </x:c>
      <x:c r="C19" s="19" t="n">
        <x:f>('成本模型'!B7-'成本模型'!B27+'成本模型'!B32*B19*'参数'!B11)/'成本模型'!B36</x:f>
        <x:v>4.127627395155439</x:v>
      </x:c>
      <x:c r="D19" s="13" t="n">
        <x:f>C19/'成本模型'!B8-1</x:f>
        <x:v>0.006301202410761375</x:v>
      </x:c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7" customHeight="1">
      <x:c r="A23" s="6" t="str">
        <x:v>有效设备时间占比</x:v>
      </x:c>
      <x:c r="B23" s="6" t="str">
        <x:v>电量价0.04美元</x:v>
      </x:c>
      <x:c r="C23" s="6" t="str">
        <x:v>电量价0.08美元</x:v>
      </x:c>
      <x:c r="D23" s="6" t="str">
        <x:v>电量价0.12美元</x:v>
      </x:c>
      <x:c r="E23" s="2"/>
      <x:c r="F23" s="2"/>
      <x:c r="G23" s="2"/>
      <x:c r="H23" s="2"/>
    </x:row>
    <x:row r="24" ht="23" customHeight="1">
      <x:c r="A24" s="2"/>
      <x:c r="B24" s="19" t="n">
        <x:v>0.04</x:v>
      </x:c>
      <x:c r="C24" s="19" t="n">
        <x:v>0.08</x:v>
      </x:c>
      <x:c r="D24" s="19" t="n">
        <x:v>0.12</x:v>
      </x:c>
      <x:c r="E24" s="2"/>
      <x:c r="F24" s="2"/>
      <x:c r="G24" s="2"/>
      <x:c r="H24" s="2"/>
    </x:row>
    <x:row r="25" ht="23" customHeight="1">
      <x:c r="A25" s="13" t="n">
        <x:v>0.35</x:v>
      </x:c>
      <x:c r="B25" s="19" t="n">
        <x:f>('成本模型'!B7-'成本模型'!B27+'成本模型'!B33*B$24)/('成本模型'!B35*$A25)</x:f>
        <x:v>7.417593733860101</x:v>
      </x:c>
      <x:c r="C25" s="19" t="n">
        <x:f>('成本模型'!B7-'成本模型'!B27+'成本模型'!B33*C$24)/('成本模型'!B35*$A25)</x:f>
        <x:v>7.617593733860101</x:v>
      </x:c>
      <x:c r="D25" s="19" t="n">
        <x:f>('成本模型'!B7-'成本模型'!B27+'成本模型'!B33*D$24)/('成本模型'!B35*$A25)</x:f>
        <x:v>7.817593733860101</x:v>
      </x:c>
      <x:c r="E25" s="2"/>
      <x:c r="F25" s="2"/>
      <x:c r="G25" s="2"/>
      <x:c r="H25" s="2"/>
    </x:row>
    <x:row r="26" ht="23" customHeight="1">
      <x:c r="A26" s="13" t="n">
        <x:v>0.44999999999999996</x:v>
      </x:c>
      <x:c r="B26" s="19" t="n">
        <x:f>('成本模型'!B7-'成本模型'!B27+'成本模型'!B33*B$24)/('成本模型'!B35*$A26)</x:f>
        <x:v>5.76923957078008</x:v>
      </x:c>
      <x:c r="C26" s="19" t="n">
        <x:f>('成本模型'!B7-'成本模型'!B27+'成本模型'!B33*C$24)/('成本模型'!B35*$A26)</x:f>
        <x:v>5.924795126335635</x:v>
      </x:c>
      <x:c r="D26" s="19" t="n">
        <x:f>('成本模型'!B7-'成本模型'!B27+'成本模型'!B33*D$24)/('成本模型'!B35*$A26)</x:f>
        <x:v>6.080350681891191</x:v>
      </x:c>
      <x:c r="E26" s="2"/>
      <x:c r="F26" s="2"/>
      <x:c r="G26" s="2"/>
      <x:c r="H26" s="2"/>
    </x:row>
    <x:row r="27" ht="23" customHeight="1">
      <x:c r="A27" s="13" t="n">
        <x:v>0.55</x:v>
      </x:c>
      <x:c r="B27" s="19" t="n">
        <x:f>('成本模型'!B7-'成本模型'!B27+'成本模型'!B33*B$24)/('成本模型'!B35*$A27)</x:f>
        <x:v>4.720286921547337</x:v>
      </x:c>
      <x:c r="C27" s="19" t="n">
        <x:f>('成本模型'!B7-'成本模型'!B27+'成本模型'!B33*C$24)/('成本模型'!B35*$A27)</x:f>
        <x:v>4.847559648820064</x:v>
      </x:c>
      <x:c r="D27" s="19" t="n">
        <x:f>('成本模型'!B7-'成本模型'!B27+'成本模型'!B33*D$24)/('成本模型'!B35*$A27)</x:f>
        <x:v>4.974832376092791</x:v>
      </x:c>
      <x:c r="E27" s="2"/>
      <x:c r="F27" s="2"/>
      <x:c r="G27" s="2"/>
      <x:c r="H27" s="2"/>
    </x:row>
    <x:row r="28" ht="23" customHeight="1">
      <x:c r="A28" s="13" t="n">
        <x:v>0.65</x:v>
      </x:c>
      <x:c r="B28" s="19" t="n">
        <x:f>('成本模型'!B7-'成本模型'!B27+'成本模型'!B33*B$24)/('成本模型'!B35*$A28)</x:f>
        <x:v>3.9940889336169776</x:v>
      </x:c>
      <x:c r="C28" s="19" t="n">
        <x:f>('成本模型'!B7-'成本模型'!B27+'成本模型'!B33*C$24)/('成本模型'!B35*$A28)</x:f>
        <x:v>4.101781241309285</x:v>
      </x:c>
      <x:c r="D28" s="19" t="n">
        <x:f>('成本模型'!B7-'成本模型'!B27+'成本模型'!B33*D$24)/('成本模型'!B35*$A28)</x:f>
        <x:v>4.209473549001593</x:v>
      </x:c>
      <x:c r="E28" s="2"/>
      <x:c r="F28" s="2"/>
      <x:c r="G28" s="2"/>
      <x:c r="H28" s="2"/>
    </x:row>
    <x:row r="29" ht="23" customHeight="1">
      <x:c r="A29" s="13" t="n">
        <x:v>0.75</x:v>
      </x:c>
      <x:c r="B29" s="19" t="n">
        <x:f>('成本模型'!B7-'成本模型'!B27+'成本模型'!B33*B$24)/('成本模型'!B35*$A29)</x:f>
        <x:v>3.4615437424680473</x:v>
      </x:c>
      <x:c r="C29" s="19" t="n">
        <x:f>('成本模型'!B7-'成本模型'!B27+'成本模型'!B33*C$24)/('成本模型'!B35*$A29)</x:f>
        <x:v>3.5548770758013806</x:v>
      </x:c>
      <x:c r="D29" s="19" t="n">
        <x:f>('成本模型'!B7-'成本模型'!B27+'成本模型'!B33*D$24)/('成本模型'!B35*$A29)</x:f>
        <x:v>3.648210409134714</x:v>
      </x:c>
      <x:c r="E29" s="2"/>
      <x:c r="F29" s="2"/>
      <x:c r="G29" s="2"/>
      <x:c r="H29" s="2"/>
    </x:row>
    <x:row r="30" ht="23" customHeight="1">
      <x:c r="A30" s="13" t="n">
        <x:v>0.85</x:v>
      </x:c>
      <x:c r="B30" s="19" t="n">
        <x:f>('成本模型'!B7-'成本模型'!B27+'成本模型'!B33*B$24)/('成本模型'!B35*$A30)</x:f>
        <x:v>3.0543033021776886</x:v>
      </x:c>
      <x:c r="C30" s="19" t="n">
        <x:f>('成本模型'!B7-'成本模型'!B27+'成本模型'!B33*C$24)/('成本模型'!B35*$A30)</x:f>
        <x:v>3.1366562433541594</x:v>
      </x:c>
      <x:c r="D30" s="19" t="n">
        <x:f>('成本模型'!B7-'成本模型'!B27+'成本模型'!B33*D$24)/('成本模型'!B35*$A30)</x:f>
        <x:v>3.2190091845306297</x:v>
      </x:c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7" customHeight="1">
      <x:c r="A34" s="6" t="str">
        <x:v>延误月数</x:v>
      </x:c>
      <x:c r="B34" s="6" t="str">
        <x:v>资本占用增加USD</x:v>
      </x:c>
      <x:c r="C34" s="6" t="str">
        <x:v>已占用资本USD</x:v>
      </x:c>
      <x:c r="D34" s="6" t="str">
        <x:v>年资本成本率</x:v>
      </x:c>
      <x:c r="E34" s="2"/>
      <x:c r="F34" s="2"/>
      <x:c r="G34" s="2"/>
      <x:c r="H34" s="2"/>
    </x:row>
    <x:row r="35" ht="23" customHeight="1">
      <x:c r="A35" s="2" t="n">
        <x:v>0</x:v>
      </x:c>
      <x:c r="B35" s="22" t="n">
        <x:f>$C$35*((1+$D$35)^(A35/12)-1)</x:f>
        <x:v>0</x:v>
      </x:c>
      <x:c r="C35" s="22" t="n">
        <x:v>2000000000</x:v>
      </x:c>
      <x:c r="D35" s="13" t="n">
        <x:v>0.08</x:v>
      </x:c>
      <x:c r="E35" s="2"/>
      <x:c r="F35" s="2"/>
      <x:c r="G35" s="2"/>
      <x:c r="H35" s="2"/>
    </x:row>
    <x:row r="36" ht="23" customHeight="1">
      <x:c r="A36" s="2" t="n">
        <x:v>3</x:v>
      </x:c>
      <x:c r="B36" s="22" t="n">
        <x:f>$C$35*((1+$D$35)^(A36/12)-1)</x:f>
        <x:v>38853093.816547</x:v>
      </x:c>
      <x:c r="C36" s="22"/>
      <x:c r="D36" s="2"/>
      <x:c r="E36" s="2"/>
      <x:c r="F36" s="2"/>
      <x:c r="G36" s="2"/>
      <x:c r="H36" s="2"/>
    </x:row>
    <x:row r="37" ht="23" customHeight="1">
      <x:c r="A37" s="2" t="n">
        <x:v>6</x:v>
      </x:c>
      <x:c r="B37" s="22" t="n">
        <x:f>$C$35*((1+$D$35)^(A37/12)-1)</x:f>
        <x:v>78460969.08265299</x:v>
      </x:c>
      <x:c r="C37" s="22"/>
      <x:c r="D37" s="2"/>
      <x:c r="E37" s="2"/>
      <x:c r="F37" s="2"/>
      <x:c r="G37" s="2"/>
      <x:c r="H37" s="2"/>
    </x:row>
    <x:row r="38" ht="23" customHeight="1">
      <x:c r="A38" s="2" t="n">
        <x:v>9</x:v>
      </x:c>
      <x:c r="B38" s="22" t="n">
        <x:f>$C$35*((1+$D$35)^(A38/12)-1)</x:f>
        <x:v>118838288.59555256</x:v>
      </x:c>
      <x:c r="C38" s="22"/>
      <x:c r="D38" s="2"/>
      <x:c r="E38" s="2"/>
      <x:c r="F38" s="2"/>
      <x:c r="G38" s="2"/>
      <x:c r="H38" s="2"/>
    </x:row>
    <x:row r="39" ht="23" customHeight="1">
      <x:c r="A39" s="2" t="n">
        <x:v>12</x:v>
      </x:c>
      <x:c r="B39" s="22" t="n">
        <x:f>$C$35*((1+$D$35)^(A39/12)-1)</x:f>
        <x:v>160000000.00000015</x:v>
      </x:c>
      <x:c r="C39" s="2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11" t="str">
        <x:v>延误为独立资金占用算例；未含仓储、违约、贬值和收入延后，不加入上方年度成本。</x:v>
      </x:c>
      <x:c r="B42" s="11"/>
      <x:c r="C42" s="11"/>
      <x:c r="D42" s="11"/>
      <x:c r="E42" s="2"/>
      <x:c r="F42" s="2"/>
      <x:c r="G42" s="2"/>
      <x:c r="H42" s="2"/>
    </x:row>
    <x:row r="43" ht="23" customHeight="1">
      <x:c r="A43" s="11"/>
      <x:c r="B43" s="11"/>
      <x:c r="C43" s="11"/>
      <x:c r="D43" s="11"/>
      <x:c r="E43" s="2"/>
      <x:c r="F43" s="2"/>
      <x:c r="G43" s="2"/>
      <x:c r="H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</x:sheetData>
  <x:mergeCells>
    <x:mergeCell ref="A3:D3"/>
    <x:mergeCell ref="A42:D43"/>
  </x:mergeCells>
  <x:conditionalFormatting sqref="B25:D30">
    <x:cfRule type="colorScale" priority="1">
      <x:colorScale>
        <x:cfvo type="min"/>
        <x:cfvo type="percentile" val="50"/>
        <x:cfvo type="max"/>
        <x:color rgb="FFEDF6FC"/>
        <x:color rgb="FF83B5D7"/>
        <x:color rgb="FF0071C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24" hidden="0" customWidth="1"/>
    <x:col min="5" max="5" width="9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4" t="str">
        <x:v>图表原始数据与来源</x:v>
      </x:c>
      <x:c r="B2" s="4"/>
      <x:c r="C2" s="4"/>
      <x:c r="D2" s="4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7" customHeight="1">
      <x:c r="A5" s="6" t="str">
        <x:v>APAC市场组</x:v>
      </x:c>
      <x:c r="B5" s="6" t="str">
        <x:v>Low</x:v>
      </x:c>
      <x:c r="C5" s="6" t="str">
        <x:v>Mid</x:v>
      </x:c>
      <x:c r="D5" s="6" t="str">
        <x:v>High</x:v>
      </x:c>
      <x:c r="E5" s="2"/>
      <x:c r="F5" s="2"/>
      <x:c r="G5" s="2"/>
      <x:c r="H5" s="2"/>
    </x:row>
    <x:row r="6" ht="23" customHeight="1">
      <x:c r="A6" s="2" t="str">
        <x:v>中国内地四城组</x:v>
      </x:c>
      <x:c r="B6" s="23" t="n">
        <x:v>5.6</x:v>
      </x:c>
      <x:c r="C6" s="23" t="n">
        <x:v>7.1</x:v>
      </x:c>
      <x:c r="D6" s="23" t="n">
        <x:v>8.6</x:v>
      </x:c>
      <x:c r="E6" s="2" t="str">
        <x:v>S01 PDF第22页；百万美元/MW IT，土地另计</x:v>
      </x:c>
      <x:c r="F6" s="2"/>
      <x:c r="G6" s="2"/>
      <x:c r="H6" s="2"/>
    </x:row>
    <x:row r="7" ht="23" customHeight="1">
      <x:c r="A7" s="2" t="str">
        <x:v>印度五城组</x:v>
      </x:c>
      <x:c r="B7" s="23" t="n">
        <x:v>5.9</x:v>
      </x:c>
      <x:c r="C7" s="23" t="n">
        <x:v>7.4</x:v>
      </x:c>
      <x:c r="D7" s="23" t="n">
        <x:v>9</x:v>
      </x:c>
      <x:c r="E7" s="2" t="str">
        <x:v>S01 PDF第24页；百万美元/MW IT，土地另计</x:v>
      </x:c>
      <x:c r="F7" s="2"/>
      <x:c r="G7" s="2"/>
      <x:c r="H7" s="2"/>
    </x:row>
    <x:row r="8" ht="23" customHeight="1">
      <x:c r="A8" s="2" t="str">
        <x:v>印尼所列市场</x:v>
      </x:c>
      <x:c r="B8" s="23" t="n">
        <x:v>6.6</x:v>
      </x:c>
      <x:c r="C8" s="23" t="n">
        <x:v>8.3</x:v>
      </x:c>
      <x:c r="D8" s="23" t="n">
        <x:v>11.2</x:v>
      </x:c>
      <x:c r="E8" s="2" t="str">
        <x:v>S01 PDF第25页；百万美元/MW IT，土地另计</x:v>
      </x:c>
      <x:c r="F8" s="2"/>
      <x:c r="G8" s="2"/>
      <x:c r="H8" s="2"/>
    </x:row>
    <x:row r="9" ht="23" customHeight="1">
      <x:c r="A9" s="2" t="str">
        <x:v>泰国曼谷</x:v>
      </x:c>
      <x:c r="B9" s="23" t="n">
        <x:v>7</x:v>
      </x:c>
      <x:c r="C9" s="23" t="n">
        <x:v>8.8</x:v>
      </x:c>
      <x:c r="D9" s="23" t="n">
        <x:v>10.5</x:v>
      </x:c>
      <x:c r="E9" s="2" t="str">
        <x:v>S01 PDF第32页；百万美元/MW IT，土地另计</x:v>
      </x:c>
      <x:c r="F9" s="2"/>
      <x:c r="G9" s="2"/>
      <x:c r="H9" s="2"/>
    </x:row>
    <x:row r="10" ht="23" customHeight="1">
      <x:c r="A10" s="2" t="str">
        <x:v>马来西亚三市场</x:v>
      </x:c>
      <x:c r="B10" s="23" t="n">
        <x:v>6.9</x:v>
      </x:c>
      <x:c r="C10" s="23" t="n">
        <x:v>9.6</x:v>
      </x:c>
      <x:c r="D10" s="23" t="n">
        <x:v>12</x:v>
      </x:c>
      <x:c r="E10" s="2" t="str">
        <x:v>S01 PDF第27页；百万美元/MW IT，土地另计</x:v>
      </x:c>
      <x:c r="F10" s="2"/>
      <x:c r="G10" s="2"/>
      <x:c r="H10" s="2"/>
    </x:row>
    <x:row r="11" ht="23" customHeight="1">
      <x:c r="A11" s="2" t="str">
        <x:v>新加坡</x:v>
      </x:c>
      <x:c r="B11" s="23" t="n">
        <x:v>12</x:v>
      </x:c>
      <x:c r="C11" s="23" t="n">
        <x:v>14.4</x:v>
      </x:c>
      <x:c r="D11" s="23" t="n">
        <x:v>17.9</x:v>
      </x:c>
      <x:c r="E11" s="2" t="str">
        <x:v>S01 PDF第30页；百万美元/MW IT，土地另计</x:v>
      </x:c>
      <x:c r="F11" s="2"/>
      <x:c r="G11" s="2"/>
      <x:c r="H11" s="2"/>
    </x:row>
    <x:row r="12" ht="23" customHeight="1">
      <x:c r="A12" s="2" t="str">
        <x:v>日本东京与大阪</x:v>
      </x:c>
      <x:c r="B12" s="23" t="n">
        <x:v>13</x:v>
      </x:c>
      <x:c r="C12" s="23" t="n">
        <x:v>16</x:v>
      </x:c>
      <x:c r="D12" s="23" t="n">
        <x:v>19.2</x:v>
      </x:c>
      <x:c r="E12" s="2" t="str">
        <x:v>S01 PDF第26页；百万美元/MW IT，土地另计</x:v>
      </x:c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7" customHeight="1">
      <x:c r="A15" s="6" t="str">
        <x:v>Epoch年化构成</x:v>
      </x:c>
      <x:c r="B15" s="6" t="str">
        <x:v>数值</x:v>
      </x:c>
      <x:c r="C15" s="6" t="str">
        <x:v>单位</x:v>
      </x:c>
      <x:c r="D15" s="6" t="str">
        <x:v>来源</x:v>
      </x:c>
      <x:c r="E15" s="2"/>
      <x:c r="F15" s="2"/>
      <x:c r="G15" s="2"/>
      <x:c r="H15" s="2"/>
    </x:row>
    <x:row r="16" ht="23" customHeight="1">
      <x:c r="A16" s="2" t="str">
        <x:v>服务器</x:v>
      </x:c>
      <x:c r="B16" s="2" t="n">
        <x:v>5021</x:v>
      </x:c>
      <x:c r="C16" s="2" t="str">
        <x:v>USD million/year</x:v>
      </x:c>
      <x:c r="D16" s="2" t="str">
        <x:v>S04；假设1GW IT</x:v>
      </x:c>
      <x:c r="E16" s="2"/>
      <x:c r="F16" s="2"/>
      <x:c r="G16" s="2"/>
      <x:c r="H16" s="2"/>
    </x:row>
    <x:row r="17" ht="23" customHeight="1">
      <x:c r="A17" s="2" t="str">
        <x:v>设施</x:v>
      </x:c>
      <x:c r="B17" s="2" t="n">
        <x:v>1387</x:v>
      </x:c>
      <x:c r="C17" s="2" t="str">
        <x:v>USD million/year</x:v>
      </x:c>
      <x:c r="D17" s="2" t="str">
        <x:v>S04；假设1GW IT</x:v>
      </x:c>
      <x:c r="E17" s="2"/>
      <x:c r="F17" s="2"/>
      <x:c r="G17" s="2"/>
      <x:c r="H17" s="2"/>
    </x:row>
    <x:row r="18" ht="23" customHeight="1">
      <x:c r="A18" s="2" t="str">
        <x:v>网络</x:v>
      </x:c>
      <x:c r="B18" s="2" t="n">
        <x:v>1167</x:v>
      </x:c>
      <x:c r="C18" s="2" t="str">
        <x:v>USD million/year</x:v>
      </x:c>
      <x:c r="D18" s="2" t="str">
        <x:v>S04；假设1GW IT</x:v>
      </x:c>
      <x:c r="E18" s="2"/>
      <x:c r="F18" s="2"/>
      <x:c r="G18" s="2"/>
      <x:c r="H18" s="2"/>
    </x:row>
    <x:row r="19" ht="23" customHeight="1">
      <x:c r="A19" s="2" t="str">
        <x:v>能源</x:v>
      </x:c>
      <x:c r="B19" s="2" t="n">
        <x:v>594</x:v>
      </x:c>
      <x:c r="C19" s="2" t="str">
        <x:v>USD million/year</x:v>
      </x:c>
      <x:c r="D19" s="2" t="str">
        <x:v>S04；假设1GW IT</x:v>
      </x:c>
      <x:c r="E19" s="2"/>
      <x:c r="F19" s="2"/>
      <x:c r="G19" s="2"/>
      <x:c r="H19" s="2"/>
    </x:row>
    <x:row r="20" ht="23" customHeight="1">
      <x:c r="A20" s="2" t="str">
        <x:v>税项</x:v>
      </x:c>
      <x:c r="B20" s="2" t="n">
        <x:v>143</x:v>
      </x:c>
      <x:c r="C20" s="2" t="str">
        <x:v>USD million/year</x:v>
      </x:c>
      <x:c r="D20" s="2" t="str">
        <x:v>S04；假设1GW IT</x:v>
      </x:c>
      <x:c r="E20" s="2"/>
      <x:c r="F20" s="2"/>
      <x:c r="G20" s="2"/>
      <x:c r="H20" s="2"/>
    </x:row>
    <x:row r="21" ht="23" customHeight="1">
      <x:c r="A21" s="2" t="str">
        <x:v>维护</x:v>
      </x:c>
      <x:c r="B21" s="2" t="n">
        <x:v>120</x:v>
      </x:c>
      <x:c r="C21" s="2" t="str">
        <x:v>USD million/year</x:v>
      </x:c>
      <x:c r="D21" s="2" t="str">
        <x:v>S04；假设1GW IT</x:v>
      </x:c>
      <x:c r="E21" s="2"/>
      <x:c r="F21" s="2"/>
      <x:c r="G21" s="2"/>
      <x:c r="H21" s="2"/>
    </x:row>
    <x:row r="22" ht="23" customHeight="1">
      <x:c r="A22" s="2" t="str">
        <x:v>人工</x:v>
      </x:c>
      <x:c r="B22" s="2" t="n">
        <x:v>40</x:v>
      </x:c>
      <x:c r="C22" s="2" t="str">
        <x:v>USD million/year</x:v>
      </x:c>
      <x:c r="D22" s="2" t="str">
        <x:v>S04；假设1GW IT</x:v>
      </x:c>
      <x:c r="E22" s="2"/>
      <x:c r="F22" s="2"/>
      <x:c r="G22" s="2"/>
      <x:c r="H22" s="2"/>
    </x:row>
    <x:row r="23" ht="23" customHeight="1">
      <x:c r="A23" s="2" t="str">
        <x:v>接入</x:v>
      </x:c>
      <x:c r="B23" s="2" t="n">
        <x:v>20</x:v>
      </x:c>
      <x:c r="C23" s="2" t="str">
        <x:v>USD million/year</x:v>
      </x:c>
      <x:c r="D23" s="2" t="str">
        <x:v>S04；假设1GW IT</x:v>
      </x:c>
      <x:c r="E23" s="2"/>
      <x:c r="F23" s="2"/>
      <x:c r="G23" s="2"/>
      <x:c r="H23" s="2"/>
    </x:row>
    <x:row r="24" ht="23" customHeight="1">
      <x:c r="A24" s="2" t="str">
        <x:v>土地</x:v>
      </x:c>
      <x:c r="B24" s="2" t="n">
        <x:v>13</x:v>
      </x:c>
      <x:c r="C24" s="2" t="str">
        <x:v>USD million/year</x:v>
      </x:c>
      <x:c r="D24" s="2" t="str">
        <x:v>S04；假设1GW IT</x:v>
      </x:c>
      <x:c r="E24" s="2"/>
      <x:c r="F24" s="2"/>
      <x:c r="G24" s="2"/>
      <x:c r="H24" s="2"/>
    </x:row>
    <x:row r="25" ht="23" customHeight="1">
      <x:c r="A25" s="2" t="str">
        <x:v>水</x:v>
      </x:c>
      <x:c r="B25" s="2" t="n">
        <x:v>6</x:v>
      </x:c>
      <x:c r="C25" s="2" t="str">
        <x:v>USD million/year</x:v>
      </x:c>
      <x:c r="D25" s="2" t="str">
        <x:v>S04；假设1GW IT</x:v>
      </x:c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11" t="str">
        <x:v>Epoch公开分项舍入合计8511，与原表总额8514有3M差异。此处保留分项，不用差额修平。APAC Low/Mid/High为规格区间，不是置信区间。</x:v>
      </x:c>
      <x:c r="B28" s="11"/>
      <x:c r="C28" s="11"/>
      <x:c r="D28" s="11"/>
      <x:c r="E28" s="11"/>
      <x:c r="F28" s="2"/>
      <x:c r="G28" s="2"/>
      <x:c r="H28" s="2"/>
    </x:row>
    <x:row r="29" ht="23" customHeight="1">
      <x:c r="A29" s="11"/>
      <x:c r="B29" s="11"/>
      <x:c r="C29" s="11"/>
      <x:c r="D29" s="11"/>
      <x:c r="E29" s="11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7" customHeight="1">
      <x:c r="A32" s="6" t="str">
        <x:v>来源编号</x:v>
      </x:c>
      <x:c r="B32" s="6" t="str">
        <x:v>机构</x:v>
      </x:c>
      <x:c r="C32" s="6" t="str">
        <x:v>日期</x:v>
      </x:c>
      <x:c r="D32" s="6" t="str">
        <x:v>原始入口</x:v>
      </x:c>
      <x:c r="E32" s="2"/>
      <x:c r="F32" s="2"/>
      <x:c r="G32" s="2"/>
      <x:c r="H32" s="2"/>
    </x:row>
    <x:row r="33" ht="72" customHeight="1">
      <x:c r="A33" s="2" t="str">
        <x:v>S01</x:v>
      </x:c>
      <x:c r="B33" s="11" t="str">
        <x:v>Cushman &amp; Wakefield</x:v>
      </x:c>
      <x:c r="C33" s="11" t="str">
        <x:v>2026-03（封面）；汇率2026-02</x:v>
      </x:c>
      <x:c r="D33" s="2" t="str">
        <x:v>见右侧链接</x:v>
      </x:c>
      <x:c r="E33" s="11" t="str">
        <x:v>https://www.cushmanwakefield.com/en/insights/apac-data-centre-construction-cost-guide</x:v>
      </x:c>
      <x:c r="F33" s="2"/>
      <x:c r="G33" s="2"/>
      <x:c r="H33" s="2"/>
    </x:row>
    <x:row r="34" ht="72" customHeight="1">
      <x:c r="A34" s="2" t="str">
        <x:v>S02</x:v>
      </x:c>
      <x:c r="B34" s="11" t="str">
        <x:v>Turner &amp; Townsend</x:v>
      </x:c>
      <x:c r="C34" s="11" t="str">
        <x:v>2025指数；页面版权2026</x:v>
      </x:c>
      <x:c r="D34" s="2" t="str">
        <x:v>见右侧链接</x:v>
      </x:c>
      <x:c r="E34" s="11" t="str">
        <x:v>https://reports.turnerandtownsend.com/data-centre-construction-cost-index-2025/methodology</x:v>
      </x:c>
      <x:c r="F34" s="2"/>
      <x:c r="G34" s="2"/>
      <x:c r="H34" s="2"/>
    </x:row>
    <x:row r="35" ht="72" customHeight="1">
      <x:c r="A35" s="2" t="str">
        <x:v>S03</x:v>
      </x:c>
      <x:c r="B35" s="11" t="str">
        <x:v>Cushman &amp; Wakefield</x:v>
      </x:c>
      <x:c r="C35" s="11" t="str">
        <x:v>2026-09-03</x:v>
      </x:c>
      <x:c r="D35" s="2" t="str">
        <x:v>见右侧链接</x:v>
      </x:c>
      <x:c r="E35" s="11" t="str">
        <x:v>https://ir.cushmanwakefield.com/news/press-release-details/2026/Cushman--Wakefield-Releases-2026-Data-Center-Development-Cost-Guide-Citing-21-Rise-in-Per-MW-Construction-Costs/default.aspx</x:v>
      </x:c>
      <x:c r="F35" s="2"/>
      <x:c r="G35" s="2"/>
      <x:c r="H35" s="2"/>
    </x:row>
    <x:row r="36" ht="72" customHeight="1">
      <x:c r="A36" s="2" t="str">
        <x:v>S04</x:v>
      </x:c>
      <x:c r="B36" s="11" t="str">
        <x:v>Epoch AI；Amelia Michael、Ben Cottier</x:v>
      </x:c>
      <x:c r="C36" s="11" t="str">
        <x:v>2026-05-14；资本表更新2026-05-19</x:v>
      </x:c>
      <x:c r="D36" s="2" t="str">
        <x:v>见右侧链接</x:v>
      </x:c>
      <x:c r="E36" s="11" t="str">
        <x:v>https://epoch.ai/data-insights/ai-datacenter-cost-breakdown</x:v>
      </x:c>
      <x:c r="F36" s="2"/>
      <x:c r="G36" s="2"/>
      <x:c r="H36" s="2"/>
    </x:row>
    <x:row r="37" ht="72" customHeight="1">
      <x:c r="A37" s="2" t="str">
        <x:v>S05</x:v>
      </x:c>
      <x:c r="B37" s="11" t="str">
        <x:v>SemiAnalysis</x:v>
      </x:c>
      <x:c r="C37" s="11" t="str">
        <x:v>2024-10-14</x:v>
      </x:c>
      <x:c r="D37" s="2" t="str">
        <x:v>见右侧链接</x:v>
      </x:c>
      <x:c r="E37" s="11" t="str">
        <x:v>授权资料库：详见 sources.md</x:v>
      </x:c>
      <x:c r="F37" s="2"/>
      <x:c r="G37" s="2"/>
      <x:c r="H37" s="2"/>
    </x:row>
    <x:row r="38" ht="72" customHeight="1">
      <x:c r="A38" s="2" t="str">
        <x:v>S06</x:v>
      </x:c>
      <x:c r="B38" s="11" t="str">
        <x:v>SemiAnalysis</x:v>
      </x:c>
      <x:c r="C38" s="11" t="str">
        <x:v>2025-02-13</x:v>
      </x:c>
      <x:c r="D38" s="2" t="str">
        <x:v>见右侧链接</x:v>
      </x:c>
      <x:c r="E38" s="11" t="str">
        <x:v>https://semianalysis.com/2025/02/13/datacenter-anatomy-part-2-cooling-systems/</x:v>
      </x:c>
      <x:c r="F38" s="2"/>
      <x:c r="G38" s="2"/>
      <x:c r="H38" s="2"/>
    </x:row>
    <x:row r="39" ht="72" customHeight="1">
      <x:c r="A39" s="2" t="str">
        <x:v>S07</x:v>
      </x:c>
      <x:c r="B39" s="11" t="str">
        <x:v>SemiAnalysis</x:v>
      </x:c>
      <x:c r="C39" s="11" t="str">
        <x:v>2023-12-04</x:v>
      </x:c>
      <x:c r="D39" s="2" t="str">
        <x:v>见右侧链接</x:v>
      </x:c>
      <x:c r="E39" s="11" t="str">
        <x:v>授权资料库：详见 sources.md</x:v>
      </x:c>
      <x:c r="F39" s="2"/>
      <x:c r="G39" s="2"/>
      <x:c r="H39" s="2"/>
    </x:row>
    <x:row r="40" ht="72" customHeight="1">
      <x:c r="A40" s="2" t="str">
        <x:v>S08</x:v>
      </x:c>
      <x:c r="B40" s="11" t="str">
        <x:v>SemiAnalysis</x:v>
      </x:c>
      <x:c r="C40" s="11" t="str">
        <x:v>2024-03-14</x:v>
      </x:c>
      <x:c r="D40" s="2" t="str">
        <x:v>见右侧链接</x:v>
      </x:c>
      <x:c r="E40" s="11" t="str">
        <x:v>授权资料库：详见 sources.md</x:v>
      </x:c>
      <x:c r="F40" s="2"/>
      <x:c r="G40" s="2"/>
      <x:c r="H40" s="2"/>
    </x:row>
    <x:row r="41" ht="72" customHeight="1">
      <x:c r="A41" s="2" t="str">
        <x:v>S09</x:v>
      </x:c>
      <x:c r="B41" s="11" t="str">
        <x:v>GEP</x:v>
      </x:c>
      <x:c r="C41" s="11" t="str">
        <x:v>2025（版权）</x:v>
      </x:c>
      <x:c r="D41" s="2" t="str">
        <x:v>见右侧链接</x:v>
      </x:c>
      <x:c r="E41" s="11" t="str">
        <x:v>授权资料库：详见 sources.md</x:v>
      </x:c>
      <x:c r="F41" s="2"/>
      <x:c r="G41" s="2"/>
      <x:c r="H41" s="2"/>
    </x:row>
    <x:row r="42" ht="72" customHeight="1">
      <x:c r="A42" s="2" t="str">
        <x:v>S10</x:v>
      </x:c>
      <x:c r="B42" s="11" t="str">
        <x:v>MLCommons</x:v>
      </x:c>
      <x:c r="C42" s="11" t="str">
        <x:v>文档读取2026-09-14；Endpoints发布2026-07-28</x:v>
      </x:c>
      <x:c r="D42" s="2" t="str">
        <x:v>见右侧链接</x:v>
      </x:c>
      <x:c r="E42" s="11" t="str">
        <x:v>https://mlcommons.org/2026/07/mlperf-endpoints-v0-7-release/</x:v>
      </x:c>
      <x:c r="F42" s="2"/>
      <x:c r="G42" s="2"/>
      <x:c r="H42" s="2"/>
    </x:row>
    <x:row r="43" ht="72" customHeight="1">
      <x:c r="A43" s="2" t="str">
        <x:v>S11</x:v>
      </x:c>
      <x:c r="B43" s="11" t="str">
        <x:v>DEWA</x:v>
      </x:c>
      <x:c r="C43" s="11" t="str">
        <x:v>燃料附加栏：September 2026</x:v>
      </x:c>
      <x:c r="D43" s="2" t="str">
        <x:v>见右侧链接</x:v>
      </x:c>
      <x:c r="E43" s="11" t="str">
        <x:v>https://www.dewa.gov.ae/en/consumer/billing/slab-tariff</x:v>
      </x:c>
      <x:c r="F43" s="2"/>
      <x:c r="G43" s="2"/>
      <x:c r="H43" s="2"/>
    </x:row>
    <x:row r="44" ht="72" customHeight="1">
      <x:c r="A44" s="2" t="str">
        <x:v>S12</x:v>
      </x:c>
      <x:c r="B44" s="11" t="str">
        <x:v>AEP Ohio</x:v>
      </x:c>
      <x:c r="C44" s="11" t="str">
        <x:v>生效2025-07-23；网页读取2026-09-14</x:v>
      </x:c>
      <x:c r="D44" s="2" t="str">
        <x:v>见右侧链接</x:v>
      </x:c>
      <x:c r="E44" s="11" t="str">
        <x:v>https://www.aepohio.com/company/about/rates/data-center-tariff/</x:v>
      </x:c>
      <x:c r="F44" s="2"/>
      <x:c r="G44" s="2"/>
      <x:c r="H44" s="2"/>
    </x:row>
    <x:row r="45" ht="72" customHeight="1">
      <x:c r="A45" s="2" t="str">
        <x:v>S13</x:v>
      </x:c>
      <x:c r="B45" s="11" t="str">
        <x:v>Public Utilities Commission of Ohio</x:v>
      </x:c>
      <x:c r="C45" s="11" t="str">
        <x:v>2025-07-09</x:v>
      </x:c>
      <x:c r="D45" s="2" t="str">
        <x:v>见右侧链接</x:v>
      </x:c>
      <x:c r="E45" s="11" t="str">
        <x:v>https://content.govdelivery.com/accounts/OHPUC/bulletins/3e8bb79</x:v>
      </x:c>
      <x:c r="F45" s="2"/>
      <x:c r="G45" s="2"/>
      <x:c r="H45" s="2"/>
    </x:row>
    <x:row r="46" ht="72" customHeight="1">
      <x:c r="A46" s="2" t="str">
        <x:v>S14</x:v>
      </x:c>
      <x:c r="B46" s="11" t="str">
        <x:v>CRU</x:v>
      </x:c>
      <x:c r="C46" s="11" t="str">
        <x:v>2025-12-12</x:v>
      </x:c>
      <x:c r="D46" s="2" t="str">
        <x:v>见右侧链接</x:v>
      </x:c>
      <x:c r="E46" s="11" t="str">
        <x:v>https://www.cru.ie/about-us/news/the-cru-publishes-its-decision-on-new-electricity-connection-policy-for-data-centres/</x:v>
      </x:c>
      <x:c r="F46" s="2"/>
      <x:c r="G46" s="2"/>
      <x:c r="H46" s="2"/>
    </x:row>
    <x:row r="47" ht="72" customHeight="1">
      <x:c r="A47" s="2" t="str">
        <x:v>S15</x:v>
      </x:c>
      <x:c r="B47" s="11" t="str">
        <x:v>JLARC</x:v>
      </x:c>
      <x:c r="C47" s="11" t="str">
        <x:v>2024-12-09</x:v>
      </x:c>
      <x:c r="D47" s="2" t="str">
        <x:v>见右侧链接</x:v>
      </x:c>
      <x:c r="E47" s="11" t="str">
        <x:v>https://jlarc.virginia.gov/pdfs/reports/Rpt598.pdf</x:v>
      </x:c>
      <x:c r="F47" s="2"/>
      <x:c r="G47" s="2"/>
      <x:c r="H47" s="2"/>
    </x:row>
    <x:row r="48" ht="72" customHeight="1">
      <x:c r="A48" s="2" t="str">
        <x:v>S16</x:v>
      </x:c>
      <x:c r="B48" s="11" t="str">
        <x:v>Fjernvarme Fyn</x:v>
      </x:c>
      <x:c r="C48" s="11" t="str">
        <x:v>网页读取2026-09-14</x:v>
      </x:c>
      <x:c r="D48" s="2" t="str">
        <x:v>见右侧链接</x:v>
      </x:c>
      <x:c r="E48" s="11" t="str">
        <x:v>https://www.fjernvarmefyn.dk/om-os/rapporter-og-opgoerelser/varedeklaration-og-groen-omstillingsplan/groen-omstillingsplan/</x:v>
      </x:c>
      <x:c r="F48" s="2"/>
      <x:c r="G48" s="2"/>
      <x:c r="H48" s="2"/>
    </x:row>
    <x:row r="49" ht="72" customHeight="1">
      <x:c r="A49" s="2" t="str">
        <x:v>S17</x:v>
      </x:c>
      <x:c r="B49" s="11" t="str">
        <x:v>国家发展改革委等四部门</x:v>
      </x:c>
      <x:c r="C49" s="11" t="str">
        <x:v>成文2024-07-03；发布2024-07-23</x:v>
      </x:c>
      <x:c r="D49" s="2" t="str">
        <x:v>见右侧链接</x:v>
      </x:c>
      <x:c r="E49" s="11" t="str">
        <x:v>https://www.ndrc.gov.cn/xxgk/zcfb/tz/202407/P020240723625582947550.pdf</x:v>
      </x:c>
      <x:c r="F49" s="2"/>
      <x:c r="G49" s="2"/>
      <x:c r="H49" s="2"/>
    </x:row>
    <x:row r="50" ht="72" customHeight="1">
      <x:c r="A50" s="2" t="str">
        <x:v>S18</x:v>
      </x:c>
      <x:c r="B50" s="11" t="str">
        <x:v>UNU-INWEH</x:v>
      </x:c>
      <x:c r="C50" s="11" t="str">
        <x:v>2026</x:v>
      </x:c>
      <x:c r="D50" s="2" t="str">
        <x:v>见右侧链接</x:v>
      </x:c>
      <x:c r="E50" s="11" t="str">
        <x:v>授权资料库：详见 sources.md</x:v>
      </x:c>
      <x:c r="F50" s="2"/>
      <x:c r="G50" s="2"/>
      <x:c r="H50" s="2"/>
    </x:row>
    <x:row r="51" ht="72" customHeight="1">
      <x:c r="A51" s="2" t="str">
        <x:v>S19</x:v>
      </x:c>
      <x:c r="B51" s="11" t="str">
        <x:v>CBRE</x:v>
      </x:c>
      <x:c r="C51" s="11" t="str">
        <x:v>2026报告；价格Q1 2026</x:v>
      </x:c>
      <x:c r="D51" s="2" t="str">
        <x:v>见右侧链接</x:v>
      </x:c>
      <x:c r="E51" s="11" t="str">
        <x:v>https://www.cbre.com/insights/reports/global-data-center-trends-2026</x:v>
      </x:c>
      <x:c r="F51" s="2"/>
      <x:c r="G51" s="2"/>
      <x:c r="H51" s="2"/>
    </x:row>
    <x:row r="52" ht="72" customHeight="1">
      <x:c r="A52" s="2" t="str">
        <x:v>S20</x:v>
      </x:c>
      <x:c r="B52" s="11" t="str">
        <x:v>LBNL</x:v>
      </x:c>
      <x:c r="C52" s="11" t="str">
        <x:v>2026-06-11</x:v>
      </x:c>
      <x:c r="D52" s="2" t="str">
        <x:v>见右侧链接</x:v>
      </x:c>
      <x:c r="E52" s="11" t="str">
        <x:v>https://datacenters.lbl.gov/news/beyond-bottleneck-new-report-identifies-solutions-accelerating-large-load-connections</x:v>
      </x:c>
      <x:c r="F52" s="2"/>
      <x:c r="G52" s="2"/>
      <x:c r="H52" s="2"/>
    </x:row>
    <x:row r="53" ht="72" customHeight="1">
      <x:c r="A53" s="2" t="str">
        <x:v>S21</x:v>
      </x:c>
      <x:c r="B53" s="11" t="str">
        <x:v>NeoTeo</x:v>
      </x:c>
      <x:c r="C53" s="11" t="str">
        <x:v>2026-09-13</x:v>
      </x:c>
      <x:c r="D53" s="2" t="str">
        <x:v>见右侧链接</x:v>
      </x:c>
      <x:c r="E53" s="11" t="str">
        <x:v>https://www.neoteo.com/en/the-hidden-public-cost-of-ai-data-centers</x:v>
      </x:c>
      <x:c r="F53" s="2"/>
      <x:c r="G53" s="2"/>
      <x:c r="H53" s="2"/>
    </x:row>
    <x:row r="54" ht="72" customHeight="1">
      <x:c r="A54" s="2" t="str">
        <x:v>S22</x:v>
      </x:c>
      <x:c r="B54" s="11" t="str">
        <x:v>TECHi</x:v>
      </x:c>
      <x:c r="C54" s="11" t="str">
        <x:v>2026-09-13</x:v>
      </x:c>
      <x:c r="D54" s="2" t="str">
        <x:v>见右侧链接</x:v>
      </x:c>
      <x:c r="E54" s="11" t="str">
        <x:v>https://www.techi.com/data-center-cost-by-country/</x:v>
      </x:c>
      <x:c r="F54" s="2"/>
      <x:c r="G54" s="2"/>
      <x:c r="H54" s="2"/>
    </x:row>
    <x:row r="55" ht="72" customHeight="1">
      <x:c r="A55" s="2" t="str">
        <x:v>S23</x:v>
      </x:c>
      <x:c r="B55" s="11" t="str">
        <x:v>Bernstein Research</x:v>
      </x:c>
      <x:c r="C55" s="11" t="str">
        <x:v>2026-06-08；首次发布2026-06-07 23:20 UTC</x:v>
      </x:c>
      <x:c r="D55" s="2" t="str">
        <x:v>见右侧链接</x:v>
      </x:c>
      <x:c r="E55" s="11" t="str">
        <x:v>授权资料库：详见 sources.md</x:v>
      </x:c>
      <x:c r="F55" s="2"/>
      <x:c r="G55" s="2"/>
      <x:c r="H55" s="2"/>
    </x:row>
    <x:row r="56" ht="72" customHeight="1">
      <x:c r="A56" s="2" t="str">
        <x:v>S24</x:v>
      </x:c>
      <x:c r="B56" s="11" t="str">
        <x:v>Investing.com</x:v>
      </x:c>
      <x:c r="C56" s="11" t="str">
        <x:v>2025-10-28</x:v>
      </x:c>
      <x:c r="D56" s="2" t="str">
        <x:v>见右侧链接</x:v>
      </x:c>
      <x:c r="E56" s="11" t="str">
        <x:v>https://m.in.investing.com/news/stock-market-news/how-much-does-a-gw-of-data-center-capacity-actually-cost-5068322?ampMode=1</x:v>
      </x:c>
      <x:c r="F56" s="2"/>
      <x:c r="G56" s="2"/>
      <x:c r="H56" s="2"/>
    </x:row>
    <x:row r="57" ht="72" customHeight="1">
      <x:c r="A57" s="2" t="str">
        <x:v>S25</x:v>
      </x:c>
      <x:c r="B57" s="11" t="str">
        <x:v>NVIDIA</x:v>
      </x:c>
      <x:c r="C57" s="11" t="str">
        <x:v>访问2026-09-14</x:v>
      </x:c>
      <x:c r="D57" s="2" t="str">
        <x:v>见右侧链接</x:v>
      </x:c>
      <x:c r="E57" s="11" t="str">
        <x:v>https://www.nvidia.com/en-us/data-center/gb200-nvl72/</x:v>
      </x:c>
      <x:c r="F57" s="2"/>
      <x:c r="G57" s="2"/>
      <x:c r="H57" s="2"/>
    </x:row>
    <x:row r="58" ht="72" customHeight="1">
      <x:c r="A58" s="2" t="str">
        <x:v>S26</x:v>
      </x:c>
      <x:c r="B58" s="11" t="str">
        <x:v>NVIDIA</x:v>
      </x:c>
      <x:c r="C58" s="11" t="str">
        <x:v>访问2026-09-14</x:v>
      </x:c>
      <x:c r="D58" s="2" t="str">
        <x:v>见右侧链接</x:v>
      </x:c>
      <x:c r="E58" s="11" t="str">
        <x:v>https://www.nvidia.com/en-us/data-center/vera-rubin-nvl72/</x:v>
      </x:c>
      <x:c r="F58" s="2"/>
      <x:c r="G58" s="2"/>
      <x:c r="H58" s="2"/>
    </x:row>
    <x:row r="59" ht="72" customHeight="1">
      <x:c r="A59" s="2" t="str">
        <x:v>S27</x:v>
      </x:c>
      <x:c r="B59" s="11" t="str">
        <x:v>NVIDIA</x:v>
      </x:c>
      <x:c r="C59" s="11" t="str">
        <x:v>2025-05-20；07-31更新</x:v>
      </x:c>
      <x:c r="D59" s="2" t="str">
        <x:v>见右侧链接</x:v>
      </x:c>
      <x:c r="E59" s="11" t="str">
        <x:v>https://developer.nvidia.com/blog/?p=100571</x:v>
      </x:c>
      <x:c r="F59" s="2"/>
      <x:c r="G59" s="2"/>
      <x:c r="H59" s="2"/>
    </x:row>
    <x:row r="60" ht="72" customHeight="1">
      <x:c r="A60" s="2" t="str">
        <x:v>S28</x:v>
      </x:c>
      <x:c r="B60" s="11" t="str">
        <x:v>EIA</x:v>
      </x:c>
      <x:c r="C60" s="11" t="str">
        <x:v>2026-04</x:v>
      </x:c>
      <x:c r="D60" s="2" t="str">
        <x:v>见右侧链接</x:v>
      </x:c>
      <x:c r="E60" s="11" t="str">
        <x:v>https://www.eia.gov/outlooks/aeo/assumptions/pdf/EMM_Assumptions.pdf</x:v>
      </x:c>
      <x:c r="F60" s="2"/>
      <x:c r="G60" s="2"/>
      <x:c r="H60" s="2"/>
    </x:row>
    <x:row r="61" ht="72" customHeight="1">
      <x:c r="A61" s="2" t="str">
        <x:v>S29</x:v>
      </x:c>
      <x:c r="B61" s="11" t="str">
        <x:v>DeepSeek</x:v>
      </x:c>
      <x:c r="C61" s="11" t="str">
        <x:v>统计窗口2025-02-27至28</x:v>
      </x:c>
      <x:c r="D61" s="2" t="str">
        <x:v>见右侧链接</x:v>
      </x:c>
      <x:c r="E61" s="11" t="str">
        <x:v>https://github.com/deepseek-ai/open-infra-index/blob/main/202502OpenSourceWeek/day_6_one_more_thing_deepseekV3R1_inference_system_overview.md</x:v>
      </x:c>
      <x:c r="F61" s="2"/>
      <x:c r="G61" s="2"/>
      <x:c r="H61" s="2"/>
    </x:row>
    <x:row r="62" ht="72" customHeight="1">
      <x:c r="A62" s="2" t="str">
        <x:v>S30</x:v>
      </x:c>
      <x:c r="B62" s="11" t="str">
        <x:v>CoreWeave</x:v>
      </x:c>
      <x:c r="C62" s="11" t="str">
        <x:v>2026-08-11</x:v>
      </x:c>
      <x:c r="D62" s="2" t="str">
        <x:v>见右侧链接</x:v>
      </x:c>
      <x:c r="E62" s="11" t="str">
        <x:v>https://investors.coreweave.com/news/news-details/2026/CoreWeave-Reports-Strong-Second-Quarter-2026-Results/default.aspx</x:v>
      </x:c>
      <x:c r="F62" s="2"/>
      <x:c r="G62" s="2"/>
      <x:c r="H62" s="2"/>
    </x:row>
    <x:row r="63" ht="72" customHeight="1">
      <x:c r="A63" s="2" t="str">
        <x:v>S31</x:v>
      </x:c>
      <x:c r="B63" s="11" t="str">
        <x:v>Microsoft</x:v>
      </x:c>
      <x:c r="C63" s="11" t="str">
        <x:v>FY2026 Q4</x:v>
      </x:c>
      <x:c r="D63" s="2" t="str">
        <x:v>见右侧链接</x:v>
      </x:c>
      <x:c r="E63" s="11" t="str">
        <x:v>https://www.microsoft.com/en-us/investor/events/fy-2026/earnings-fy-2026-q4</x:v>
      </x:c>
      <x:c r="F63" s="2"/>
      <x:c r="G63" s="2"/>
      <x:c r="H63" s="2"/>
    </x:row>
    <x:row r="64" ht="72" customHeight="1">
      <x:c r="A64" s="2" t="str">
        <x:v>S32</x:v>
      </x:c>
      <x:c r="B64" s="11" t="str">
        <x:v>Amazon</x:v>
      </x:c>
      <x:c r="C64" s="11" t="str">
        <x:v>年度截至2025-12-31</x:v>
      </x:c>
      <x:c r="D64" s="2" t="str">
        <x:v>见右侧链接</x:v>
      </x:c>
      <x:c r="E64" s="11" t="str">
        <x:v>https://www.sec.gov/Archives/edgar/data/1018724/000101872426000004/amzn-20251231.htm</x:v>
      </x:c>
      <x:c r="F64" s="2"/>
      <x:c r="G64" s="2"/>
      <x:c r="H64" s="2"/>
    </x:row>
    <x:row r="65" ht="72" customHeight="1">
      <x:c r="A65" s="2" t="str">
        <x:v>S33</x:v>
      </x:c>
      <x:c r="B65" s="11" t="str">
        <x:v>OpenAI</x:v>
      </x:c>
      <x:c r="C65" s="11" t="str">
        <x:v>2025-01-21</x:v>
      </x:c>
      <x:c r="D65" s="2" t="str">
        <x:v>见右侧链接</x:v>
      </x:c>
      <x:c r="E65" s="11" t="str">
        <x:v>https://openai.com/index/announcing-the-stargate-project/</x:v>
      </x:c>
      <x:c r="F65" s="2"/>
      <x:c r="G65" s="2"/>
      <x:c r="H65" s="2"/>
    </x:row>
    <x:row r="66" ht="72" customHeight="1">
      <x:c r="A66" s="2" t="str">
        <x:v>S34</x:v>
      </x:c>
      <x:c r="B66" s="11" t="str">
        <x:v>量子位／36氪</x:v>
      </x:c>
      <x:c r="C66" s="11" t="str">
        <x:v>2026-06-09</x:v>
      </x:c>
      <x:c r="D66" s="2" t="str">
        <x:v>见右侧链接</x:v>
      </x:c>
      <x:c r="E66" s="11" t="str">
        <x:v>https://36kr.com/p/3845338701892096</x:v>
      </x:c>
      <x:c r="F66" s="2"/>
      <x:c r="G66" s="2"/>
      <x:c r="H66" s="2"/>
    </x:row>
    <x:row r="67" ht="72" customHeight="1">
      <x:c r="A67" s="2" t="str">
        <x:v>S35</x:v>
      </x:c>
      <x:c r="B67" s="11" t="str">
        <x:v>华尔街见闻</x:v>
      </x:c>
      <x:c r="C67" s="11" t="str">
        <x:v>2026-09-11</x:v>
      </x:c>
      <x:c r="D67" s="2" t="str">
        <x:v>见右侧链接</x:v>
      </x:c>
      <x:c r="E67" s="11" t="str">
        <x:v>https://wallstreetcn.com/articles/3781529</x:v>
      </x:c>
      <x:c r="F67" s="2"/>
      <x:c r="G67" s="2"/>
      <x:c r="H67" s="2"/>
    </x:row>
    <x:row r="68" ht="72" customHeight="1">
      <x:c r="A68" s="2" t="str">
        <x:v>S36</x:v>
      </x:c>
      <x:c r="B68" s="11" t="str">
        <x:v>Google</x:v>
      </x:c>
      <x:c r="C68" s="11" t="str">
        <x:v>2025-11-04</x:v>
      </x:c>
      <x:c r="D68" s="2" t="str">
        <x:v>见右侧链接</x:v>
      </x:c>
      <x:c r="E68" s="11" t="str">
        <x:v>https://blog.google/innovation-and-ai/technology/research/google-project-suncatcher/</x:v>
      </x:c>
      <x:c r="F68" s="2"/>
      <x:c r="G68" s="2"/>
      <x:c r="H68" s="2"/>
    </x:row>
    <x:row r="69" ht="72" customHeight="1">
      <x:c r="A69" s="2" t="str">
        <x:v>S37</x:v>
      </x:c>
      <x:c r="B69" s="11" t="str">
        <x:v>Bernstein私人财富管理</x:v>
      </x:c>
      <x:c r="C69" s="11" t="str">
        <x:v>2026-01-28</x:v>
      </x:c>
      <x:c r="D69" s="2" t="str">
        <x:v>见右侧链接</x:v>
      </x:c>
      <x:c r="E69" s="11" t="str">
        <x:v>https://www.bernstein.com/our-insights/insights/2026/articles/ai-look-for-air-pockets-not-bubbles.html</x:v>
      </x:c>
      <x:c r="F69" s="2"/>
      <x:c r="G69" s="2"/>
      <x:c r="H69" s="2"/>
    </x:row>
    <x:row r="70" ht="72" customHeight="1">
      <x:c r="A70" s="2" t="str">
        <x:v>S38</x:v>
      </x:c>
      <x:c r="B70" s="11" t="str">
        <x:v>Bernstein私人财富管理</x:v>
      </x:c>
      <x:c r="C70" s="11" t="str">
        <x:v>2026-06-10</x:v>
      </x:c>
      <x:c r="D70" s="2" t="str">
        <x:v>见右侧链接</x:v>
      </x:c>
      <x:c r="E70" s="11" t="str">
        <x:v>https://www.bernstein.com/our-insights/insights/2026/articles/what-alphabets-move-reveals-about-ai.html</x:v>
      </x:c>
      <x:c r="F70" s="2"/>
      <x:c r="G70" s="2"/>
      <x:c r="H70" s="2"/>
    </x:row>
    <x:row r="71" ht="72" customHeight="1">
      <x:c r="A71" s="2" t="str">
        <x:v>S39</x:v>
      </x:c>
      <x:c r="B71" s="11" t="str">
        <x:v>New Jersey Board of Public Utilities</x:v>
      </x:c>
      <x:c r="C71" s="11" t="str">
        <x:v>2026-08</x:v>
      </x:c>
      <x:c r="D71" s="2" t="str">
        <x:v>见右侧链接</x:v>
      </x:c>
      <x:c r="E71" s="11" t="str">
        <x:v>https://nj.gov/bpu/pdf/reports/AN_INVESTIGATION_OF_PJMs_CAPACITY_MARKET_FINAL_8.12.26.pdf</x:v>
      </x:c>
      <x:c r="F71" s="2"/>
      <x:c r="G71" s="2"/>
      <x:c r="H71" s="2"/>
    </x:row>
    <x:row r="72" ht="72" customHeight="1">
      <x:c r="A72" s="2" t="str">
        <x:v>S40</x:v>
      </x:c>
      <x:c r="B72" s="11" t="str">
        <x:v>研究资料库</x:v>
      </x:c>
      <x:c r="C72" s="11" t="str">
        <x:v>2023／2025／未注明</x:v>
      </x:c>
      <x:c r="D72" s="2" t="str">
        <x:v>见右侧链接</x:v>
      </x:c>
      <x:c r="E72" s="11" t="str">
        <x:v>授权资料库：详见 sources.md</x:v>
      </x:c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7" customHeight="1">
      <x:c r="A76" s="6" t="str">
        <x:v>内存配置</x:v>
      </x:c>
      <x:c r="B76" s="6" t="str">
        <x:v>容量 TB</x:v>
      </x:c>
      <x:c r="C76" s="6" t="str">
        <x:v>状态</x:v>
      </x:c>
      <x:c r="D76" s="6" t="str">
        <x:v>来源编号</x:v>
      </x:c>
      <x:c r="E76" s="2"/>
      <x:c r="F76" s="2"/>
      <x:c r="G76" s="2"/>
      <x:c r="H76" s="2"/>
    </x:row>
    <x:row r="77" ht="23" customHeight="1">
      <x:c r="A77" s="2" t="str">
        <x:v>GB200 HBM</x:v>
      </x:c>
      <x:c r="B77" s="2" t="n">
        <x:v>13.4</x:v>
      </x:c>
      <x:c r="C77" s="2" t="str">
        <x:v>官方规格</x:v>
      </x:c>
      <x:c r="D77" s="2" t="str">
        <x:v>S25 / S26</x:v>
      </x:c>
      <x:c r="E77" s="2"/>
      <x:c r="F77" s="2"/>
      <x:c r="G77" s="2"/>
      <x:c r="H77" s="2"/>
    </x:row>
    <x:row r="78" ht="23" customHeight="1">
      <x:c r="A78" s="2" t="str">
        <x:v>Rubin HBM</x:v>
      </x:c>
      <x:c r="B78" s="2" t="n">
        <x:v>20.7</x:v>
      </x:c>
      <x:c r="C78" s="2" t="str">
        <x:v>官方规格</x:v>
      </x:c>
      <x:c r="D78" s="2" t="str">
        <x:v>S25 / S26</x:v>
      </x:c>
      <x:c r="E78" s="2"/>
      <x:c r="F78" s="2"/>
      <x:c r="G78" s="2"/>
      <x:c r="H78" s="2"/>
    </x:row>
    <x:row r="79" ht="23" customHeight="1">
      <x:c r="A79" s="2" t="str">
        <x:v>GB200 CPU DRAM</x:v>
      </x:c>
      <x:c r="B79" s="2" t="n">
        <x:v>17</x:v>
      </x:c>
      <x:c r="C79" s="2" t="str">
        <x:v>官方规格</x:v>
      </x:c>
      <x:c r="D79" s="2" t="str">
        <x:v>S25 / S26</x:v>
      </x:c>
      <x:c r="E79" s="2"/>
      <x:c r="F79" s="2"/>
      <x:c r="G79" s="2"/>
      <x:c r="H79" s="2"/>
    </x:row>
    <x:row r="80" ht="23" customHeight="1">
      <x:c r="A80" s="2" t="str">
        <x:v>Rubin CPU DRAM上限</x:v>
      </x:c>
      <x:c r="B80" s="2" t="n">
        <x:v>54</x:v>
      </x:c>
      <x:c r="C80" s="2" t="str">
        <x:v>上限</x:v>
      </x:c>
      <x:c r="D80" s="2" t="str">
        <x:v>S25 / S26</x:v>
      </x:c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7" customHeight="1">
      <x:c r="A83" s="6" t="str">
        <x:v>PJM容量交付年度</x:v>
      </x:c>
      <x:c r="B83" s="6" t="str">
        <x:v>USD/MW日</x:v>
      </x:c>
      <x:c r="C83" s="6" t="str">
        <x:v>状态</x:v>
      </x:c>
      <x:c r="D83" s="6" t="str">
        <x:v>来源编号</x:v>
      </x:c>
      <x:c r="E83" s="2"/>
      <x:c r="F83" s="2"/>
      <x:c r="G83" s="2"/>
      <x:c r="H83" s="2"/>
    </x:row>
    <x:row r="84" ht="23" customHeight="1">
      <x:c r="A84" s="2" t="str">
        <x:v>2024/25</x:v>
      </x:c>
      <x:c r="B84" s="2" t="n">
        <x:v>28.92</x:v>
      </x:c>
      <x:c r="C84" s="2" t="str">
        <x:v>NJ BPU报告引用</x:v>
      </x:c>
      <x:c r="D84" s="2" t="str">
        <x:v>S39</x:v>
      </x:c>
      <x:c r="E84" s="2"/>
      <x:c r="F84" s="2"/>
      <x:c r="G84" s="2"/>
      <x:c r="H84" s="2"/>
    </x:row>
    <x:row r="85" ht="23" customHeight="1">
      <x:c r="A85" s="2" t="str">
        <x:v>2025/26</x:v>
      </x:c>
      <x:c r="B85" s="2" t="n">
        <x:v>269.92</x:v>
      </x:c>
      <x:c r="C85" s="2" t="str">
        <x:v>NJ BPU报告引用</x:v>
      </x:c>
      <x:c r="D85" s="2" t="str">
        <x:v>S39</x:v>
      </x:c>
      <x:c r="E85" s="2"/>
      <x:c r="F85" s="2"/>
      <x:c r="G85" s="2"/>
      <x:c r="H85" s="2"/>
    </x:row>
    <x:row r="86">
      <x:c r="A86" t="str">
        <x:v>2026/27</x:v>
      </x:c>
      <x:c r="B86" t="n">
        <x:v>329.17</x:v>
      </x:c>
      <x:c r="C86" t="str">
        <x:v>NJ BPU报告引用</x:v>
      </x:c>
      <x:c r="D86" t="str">
        <x:v>S39</x:v>
      </x:c>
    </x:row>
    <x:row r="87">
      <x:c r="A87" t="str">
        <x:v>2027/28</x:v>
      </x:c>
      <x:c r="B87" t="n">
        <x:v>333.44</x:v>
      </x:c>
      <x:c r="C87" t="str">
        <x:v>NJ BPU报告引用</x:v>
      </x:c>
      <x:c r="D87" t="str">
        <x:v>S39</x:v>
      </x:c>
    </x:row>
    <x:row r="88">
      <x:c r="A88" t="str">
        <x:v>2028/29</x:v>
      </x:c>
      <x:c r="B88" t="n">
        <x:v>325</x:v>
      </x:c>
      <x:c r="C88" t="str">
        <x:v>NJ BPU报告引用</x:v>
      </x:c>
      <x:c r="D88" t="str">
        <x:v>S39</x:v>
      </x:c>
    </x:row>
    <x:row r="90">
      <x:c r="A90" s="32" t="str">
        <x:v>2028/29的325美元沿用州监管报告，未取得独立成交公告；序列不可单独证明数据中心造成全部涨价。示意流程图不是数值统计图，不设虚构数据。</x:v>
      </x:c>
      <x:c r="B90" s="32"/>
      <x:c r="C90" s="32"/>
      <x:c r="D90" s="32"/>
      <x:c r="E90" s="32"/>
    </x:row>
    <x:row r="91">
      <x:c r="A91" s="32"/>
      <x:c r="B91" s="32"/>
      <x:c r="C91" s="32"/>
      <x:c r="D91" s="32"/>
      <x:c r="E91" s="32"/>
    </x:row>
    <x:row r="95" ht="27" customHeight="1">
      <x:c r="A95" s="34" t="str">
        <x:v>补充来源编号</x:v>
      </x:c>
      <x:c r="B95" s="34" t="str">
        <x:v>机构</x:v>
      </x:c>
      <x:c r="C95" s="34" t="str">
        <x:v>日期</x:v>
      </x:c>
      <x:c r="D95" s="34" t="str">
        <x:v>原始入口</x:v>
      </x:c>
    </x:row>
    <x:row r="96" ht="72" customHeight="1">
      <x:c r="A96" s="1" t="str">
        <x:v>S41</x:v>
      </x:c>
      <x:c r="B96" s="35" t="str">
        <x:v>SemiAnalysis</x:v>
      </x:c>
      <x:c r="C96" s="35" t="str">
        <x:v>2026-07-23</x:v>
      </x:c>
      <x:c r="D96" s="1" t="str">
        <x:v>见右侧链接</x:v>
      </x:c>
      <x:c r="E96" s="35" t="str">
        <x:v>https://newsletter.semianalysis.com/p/vera-rubin-nvl72-vs-gb200-nvl72-inference</x:v>
      </x:c>
    </x:row>
    <x:row r="97" ht="72" customHeight="1">
      <x:c r="A97" s="1" t="str">
        <x:v>S42</x:v>
      </x:c>
      <x:c r="B97" s="35" t="str">
        <x:v>CoreWeave</x:v>
      </x:c>
      <x:c r="C97" s="35" t="str">
        <x:v>2026-07-21</x:v>
      </x:c>
      <x:c r="D97" s="1" t="str">
        <x:v>见右侧链接</x:v>
      </x:c>
      <x:c r="E97" s="35" t="str">
        <x:v>https://coreweave.com/blog/nvidia-vera-rubin-nvl72-on-coreweave-10x-more-tokens-per-megawatt-than-blackwell</x:v>
      </x:c>
    </x:row>
    <x:row r="98" ht="72" customHeight="1">
      <x:c r="A98" s="1" t="str">
        <x:v>S43</x:v>
      </x:c>
      <x:c r="B98" s="35" t="str">
        <x:v>SemiAnalysis</x:v>
      </x:c>
      <x:c r="C98" s="35" t="str">
        <x:v>2025-12-31（本地PDF）；官网显示2025-12-30</x:v>
      </x:c>
      <x:c r="D98" s="1" t="str">
        <x:v>见右侧链接</x:v>
      </x:c>
      <x:c r="E98" s="35" t="str">
        <x:v>https://newsletter.semianalysis.com/p/how-ai-labs-are-solving-the-power</x:v>
      </x:c>
    </x:row>
    <x:row r="99" ht="72" customHeight="1">
      <x:c r="A99" s="1" t="str">
        <x:v>S44</x:v>
      </x:c>
      <x:c r="B99" s="35" t="str">
        <x:v>SemiAnalysis</x:v>
      </x:c>
      <x:c r="C99" s="35" t="str">
        <x:v>2026-04-20</x:v>
      </x:c>
      <x:c r="D99" s="1" t="str">
        <x:v>见右侧链接</x:v>
      </x:c>
      <x:c r="E99" s="35" t="str">
        <x:v>https://newsletter.semianalysis.com/p/how-much-do-gpu-clusters-really-cost</x:v>
      </x:c>
    </x:row>
    <x:row r="100" ht="72" customHeight="1">
      <x:c r="A100" s="1" t="str">
        <x:v>S45</x:v>
      </x:c>
      <x:c r="B100" s="35" t="str">
        <x:v>SemiAnalysis</x:v>
      </x:c>
      <x:c r="C100" s="35" t="str">
        <x:v>2026-07-06</x:v>
      </x:c>
      <x:c r="D100" s="1" t="str">
        <x:v>见右侧链接</x:v>
      </x:c>
      <x:c r="E100" s="35" t="str">
        <x:v>https://newsletter.semianalysis.com/p/nvidia-gpu-debt-backstop-unleashes</x:v>
      </x:c>
    </x:row>
    <x:row r="101" ht="72" customHeight="1">
      <x:c r="A101" s="1" t="str">
        <x:v>S46</x:v>
      </x:c>
      <x:c r="B101" s="35" t="str">
        <x:v>Meta</x:v>
      </x:c>
      <x:c r="C101" s="35" t="str">
        <x:v>2025-10-21</x:v>
      </x:c>
      <x:c r="D101" s="1" t="str">
        <x:v>见右侧链接</x:v>
      </x:c>
      <x:c r="E101" s="35" t="str">
        <x:v>https://investor.atmeta.com/investor-news/press-release-details/2025/Meta-Announces-Joint-Venture-with-Funds-Managed-by-Blue-Owl-Capital-to-Develop-Hyperion-Data-Center/</x:v>
      </x:c>
    </x:row>
    <x:row r="102" ht="72" customHeight="1">
      <x:c r="A102" s="1" t="str">
        <x:v>S47</x:v>
      </x:c>
      <x:c r="B102" s="35" t="str">
        <x:v>SemiAnalysis</x:v>
      </x:c>
      <x:c r="C102" s="35" t="str">
        <x:v>2026-08-16</x:v>
      </x:c>
      <x:c r="D102" s="1" t="str">
        <x:v>见右侧链接</x:v>
      </x:c>
      <x:c r="E102" s="35" t="str">
        <x:v>https://newsletter.semianalysis.com/p/12b-of-us-ratepayers-money-wasted</x:v>
      </x:c>
    </x:row>
    <x:row r="103" ht="72" customHeight="1">
      <x:c r="A103" s="1" t="str">
        <x:v>S48</x:v>
      </x:c>
      <x:c r="B103" s="35" t="str">
        <x:v>Monitoring Analytics</x:v>
      </x:c>
      <x:c r="C103" s="35" t="str">
        <x:v>2024-09-20</x:v>
      </x:c>
      <x:c r="D103" s="1" t="str">
        <x:v>见右侧链接</x:v>
      </x:c>
      <x:c r="E103" s="35" t="str">
        <x:v>https://www.monitoringanalytics.com/reports/Reports/2024/IMM_Analysis_of_the_20252026_RPM_Base_Residual_Auction_Part_A_20240920.pdf</x:v>
      </x:c>
    </x:row>
    <x:row r="104" ht="72" customHeight="1">
      <x:c r="A104" s="1" t="str">
        <x:v>S49</x:v>
      </x:c>
      <x:c r="B104" s="35" t="str">
        <x:v>Columbia Business School · Stijn Van Nieuwerburgh</x:v>
      </x:c>
      <x:c r="C104" s="35" t="str">
        <x:v>2026-03-19</x:v>
      </x:c>
      <x:c r="D104" s="1" t="str">
        <x:v>见右侧链接</x:v>
      </x:c>
      <x:c r="E104" s="35" t="str">
        <x:v>授权资料库：详见 sources.md</x:v>
      </x:c>
    </x:row>
  </x:sheetData>
  <x:mergeCells>
    <x:mergeCell ref="A28:E29"/>
    <x:mergeCell ref="A90:E9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852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19" hidden="0" customWidth="1"/>
    <x:col min="4" max="4" width="68" hidden="0" customWidth="1"/>
  </x:cols>
  <x:sheetData>
    <x:row r="1" ht="23" customHeight="1">
      <x:c r="A1" s="2"/>
      <x:c r="B1" s="2"/>
      <x:c r="C1" s="2"/>
      <x:c r="D1" s="11"/>
      <x:c r="E1" s="2"/>
      <x:c r="F1" s="2"/>
    </x:row>
    <x:row r="2" ht="31" customHeight="1">
      <x:c r="A2" s="4" t="str">
        <x:v>机柜、内存与自备电厂算例</x:v>
      </x:c>
      <x:c r="B2" s="4"/>
      <x:c r="C2" s="4"/>
      <x:c r="D2" s="25"/>
      <x:c r="E2" s="2"/>
      <x:c r="F2" s="2"/>
    </x:row>
    <x:row r="3" ht="23" customHeight="1">
      <x:c r="A3" s="2" t="str">
        <x:v>原始报告输入与研究假设可修改，非厂商报价。详细口径见Bernstein原表复算页。</x:v>
      </x:c>
      <x:c r="B3" s="2"/>
      <x:c r="C3" s="2"/>
      <x:c r="D3" s="11"/>
      <x:c r="E3" s="2"/>
      <x:c r="F3" s="2"/>
    </x:row>
    <x:row r="4" ht="23" customHeight="1">
      <x:c r="A4" s="2"/>
      <x:c r="B4" s="2"/>
      <x:c r="C4" s="2"/>
      <x:c r="D4" s="11"/>
      <x:c r="E4" s="2"/>
      <x:c r="F4" s="2"/>
    </x:row>
    <x:row r="5" ht="27" customHeight="1">
      <x:c r="A5" s="6" t="str">
        <x:v>Rubin成本重建</x:v>
      </x:c>
      <x:c r="B5" s="6" t="str">
        <x:v>输入 / 计算值</x:v>
      </x:c>
      <x:c r="C5" s="6" t="str">
        <x:v>单位</x:v>
      </x:c>
      <x:c r="D5" s="27" t="str">
        <x:v>口径</x:v>
      </x:c>
      <x:c r="E5" s="2"/>
      <x:c r="F5" s="2"/>
    </x:row>
    <x:row r="6" ht="34" customHeight="1">
      <x:c r="A6" s="2" t="str">
        <x:v>机柜数量</x:v>
      </x:c>
      <x:c r="B6" s="9" t="n">
        <x:v>3557</x:v>
      </x:c>
      <x:c r="C6" s="2" t="str">
        <x:v>柜</x:v>
      </x:c>
      <x:c r="D6" s="11" t="str">
        <x:v>S23：原始PDF第8页，表列3557柜</x:v>
      </x:c>
      <x:c r="E6" s="2"/>
      <x:c r="F6" s="2"/>
    </x:row>
    <x:row r="7" ht="34" customHeight="1">
      <x:c r="A7" s="2" t="str">
        <x:v>单柜功率</x:v>
      </x:c>
      <x:c r="B7" s="9" t="n">
        <x:v>220</x:v>
      </x:c>
      <x:c r="C7" s="2" t="str">
        <x:v>kW</x:v>
      </x:c>
      <x:c r="D7" s="11" t="str">
        <x:v>S23：原始报告功率假设</x:v>
      </x:c>
      <x:c r="E7" s="2"/>
      <x:c r="F7" s="2"/>
    </x:row>
    <x:row r="8" ht="34" customHeight="1">
      <x:c r="A8" s="2" t="str">
        <x:v>单柜成本</x:v>
      </x:c>
      <x:c r="B8" s="9" t="n">
        <x:v>9093000</x:v>
      </x:c>
      <x:c r="C8" s="2" t="str">
        <x:v>USD</x:v>
      </x:c>
      <x:c r="D8" s="11" t="str">
        <x:v>S23：原表909.3万美元，非实际采购合同</x:v>
      </x:c>
      <x:c r="E8" s="2"/>
      <x:c r="F8" s="2"/>
    </x:row>
    <x:row r="9" ht="34" customHeight="1">
      <x:c r="A9" s="2" t="str">
        <x:v>设施等投入</x:v>
      </x:c>
      <x:c r="B9" s="9" t="n">
        <x:v>15000000000</x:v>
      </x:c>
      <x:c r="C9" s="2" t="str">
        <x:v>USD</x:v>
      </x:c>
      <x:c r="D9" s="11" t="str">
        <x:v>S23：机电112亿+土地建筑38亿美元，研究估计</x:v>
      </x:c>
      <x:c r="E9" s="2"/>
      <x:c r="F9" s="2"/>
    </x:row>
    <x:row r="10" ht="34" customHeight="1">
      <x:c r="A10" s="2" t="str">
        <x:v>园区容量口径</x:v>
      </x:c>
      <x:c r="B10" s="9" t="n">
        <x:v>1000</x:v>
      </x:c>
      <x:c r="C10" s="2" t="str">
        <x:v>MW</x:v>
      </x:c>
      <x:c r="D10" s="11" t="str">
        <x:v>原报告总设施功率预算，不是IT容量或实际接电承诺</x:v>
      </x:c>
      <x:c r="E10" s="2"/>
      <x:c r="F10" s="2"/>
    </x:row>
    <x:row r="11" ht="34" customHeight="1">
      <x:c r="A11" s="2"/>
      <x:c r="B11" s="12"/>
      <x:c r="C11" s="2"/>
      <x:c r="D11" s="11"/>
      <x:c r="E11" s="2"/>
      <x:c r="F11" s="2"/>
    </x:row>
    <x:row r="12" ht="34" customHeight="1">
      <x:c r="A12" s="2" t="str">
        <x:v>机柜合计功率</x:v>
      </x:c>
      <x:c r="B12" s="15" t="n">
        <x:f>B6*B7/1000</x:f>
        <x:v>782.54</x:v>
      </x:c>
      <x:c r="C12" s="2" t="str">
        <x:v>MW</x:v>
      </x:c>
      <x:c r="D12" s="11" t="str">
        <x:v>数量×功率；其他负荷仍需报告解释</x:v>
      </x:c>
      <x:c r="E12" s="2"/>
      <x:c r="F12" s="2"/>
    </x:row>
    <x:row r="13" ht="34" customHeight="1">
      <x:c r="A13" s="2" t="str">
        <x:v>机柜占园区容量比例</x:v>
      </x:c>
      <x:c r="B13" s="16" t="n">
        <x:f>B12/B10</x:f>
        <x:v>0.78254</x:v>
      </x:c>
      <x:c r="C13" s="2" t="str"/>
      <x:c r="D13" s="11" t="str">
        <x:v>按3557柜重算；原模型90%/PUE1.15，略有舍入</x:v>
      </x:c>
      <x:c r="E13" s="2"/>
      <x:c r="F13" s="2"/>
    </x:row>
    <x:row r="14" ht="34" customHeight="1">
      <x:c r="A14" s="2" t="str">
        <x:v>机柜采购合计</x:v>
      </x:c>
      <x:c r="B14" s="15" t="n">
        <x:f>B6*B8</x:f>
        <x:v>32343801000</x:v>
      </x:c>
      <x:c r="C14" s="2" t="str">
        <x:v>USD</x:v>
      </x:c>
      <x:c r="D14" s="11" t="str">
        <x:v>逐柜相乘</x:v>
      </x:c>
      <x:c r="E14" s="2"/>
      <x:c r="F14" s="2"/>
    </x:row>
    <x:row r="15" ht="34" customHeight="1">
      <x:c r="A15" s="2" t="str">
        <x:v>总投入重建值</x:v>
      </x:c>
      <x:c r="B15" s="15" t="n">
        <x:f>B14+B9</x:f>
        <x:v>47343801000</x:v>
      </x:c>
      <x:c r="C15" s="2" t="str">
        <x:v>USD</x:v>
      </x:c>
      <x:c r="D15" s="11" t="str">
        <x:v>原始表格复算，不是已成交工程预算</x:v>
      </x:c>
      <x:c r="E15" s="2"/>
      <x:c r="F15" s="2"/>
    </x:row>
    <x:row r="16" ht="34" customHeight="1">
      <x:c r="A16" s="2"/>
      <x:c r="B16" s="12"/>
      <x:c r="C16" s="2"/>
      <x:c r="D16" s="11"/>
      <x:c r="E16" s="2"/>
      <x:c r="F16" s="2"/>
    </x:row>
    <x:row r="17" ht="34" customHeight="1">
      <x:c r="A17" s="2"/>
      <x:c r="B17" s="12"/>
      <x:c r="C17" s="2"/>
      <x:c r="D17" s="11"/>
      <x:c r="E17" s="2"/>
      <x:c r="F17" s="2"/>
    </x:row>
    <x:row r="18" ht="34" customHeight="1">
      <x:c r="A18" s="6" t="str">
        <x:v>HBM价差敏感性</x:v>
      </x:c>
      <x:c r="B18" s="29" t="str">
        <x:v>输入 / 计算值</x:v>
      </x:c>
      <x:c r="C18" s="6" t="str">
        <x:v>单位</x:v>
      </x:c>
      <x:c r="D18" s="27" t="str">
        <x:v>口径</x:v>
      </x:c>
      <x:c r="E18" s="2"/>
      <x:c r="F18" s="2"/>
    </x:row>
    <x:row r="19" ht="34" customHeight="1">
      <x:c r="A19" s="2" t="str">
        <x:v>单柜HBM容量</x:v>
      </x:c>
      <x:c r="B19" s="9" t="n">
        <x:v>20700</x:v>
      </x:c>
      <x:c r="C19" s="2" t="str">
        <x:v>GB</x:v>
      </x:c>
      <x:c r="D19" s="11" t="str">
        <x:v>S26：20.7TB按十进制换算；规格不同于报价</x:v>
      </x:c>
      <x:c r="E19" s="2"/>
      <x:c r="F19" s="2"/>
    </x:row>
    <x:row r="20" ht="34" customHeight="1">
      <x:c r="A20" s="2" t="str">
        <x:v>历史参考价情景</x:v>
      </x:c>
      <x:c r="B20" s="9" t="n">
        <x:v>16.63</x:v>
      </x:c>
      <x:c r="C20" s="2" t="str">
        <x:v>USD/GB</x:v>
      </x:c>
      <x:c r="D20" s="11" t="str">
        <x:v>S23：第3页16.63，非本次现价查询</x:v>
      </x:c>
      <x:c r="E20" s="2"/>
      <x:c r="F20" s="2"/>
    </x:row>
    <x:row r="21" ht="34" customHeight="1">
      <x:c r="A21" s="2" t="str">
        <x:v>未来客户价格情景</x:v>
      </x:c>
      <x:c r="B21" s="9" t="n">
        <x:v>52.8</x:v>
      </x:c>
      <x:c r="C21" s="2" t="str">
        <x:v>USD/GB</x:v>
      </x:c>
      <x:c r="D21" s="11" t="str">
        <x:v>S23：2027预测48×1.10=52.8，正文取整53；非成交价</x:v>
      </x:c>
      <x:c r="E21" s="2"/>
      <x:c r="F21" s="2"/>
    </x:row>
    <x:row r="22" ht="34" customHeight="1">
      <x:c r="A22" s="2" t="str">
        <x:v>单柜价格增量</x:v>
      </x:c>
      <x:c r="B22" s="15" t="n">
        <x:f>B19*(B21-B20)</x:f>
        <x:v>748719</x:v>
      </x:c>
      <x:c r="C22" s="2" t="str">
        <x:v>USD</x:v>
      </x:c>
      <x:c r="D22" s="11" t="str">
        <x:v>仅改变单位价格，容量固定</x:v>
      </x:c>
      <x:c r="E22" s="2"/>
      <x:c r="F22" s="2"/>
    </x:row>
    <x:row r="23" ht="34" customHeight="1">
      <x:c r="A23" s="2" t="str">
        <x:v>对应机柜群增量</x:v>
      </x:c>
      <x:c r="B23" s="15" t="n">
        <x:f>B22*B6</x:f>
        <x:v>2663193483</x:v>
      </x:c>
      <x:c r="C23" s="2" t="str">
        <x:v>USD</x:v>
      </x:c>
      <x:c r="D23" s="11" t="str">
        <x:v>不要重复加到已包含该涨价的机柜总价</x:v>
      </x:c>
      <x:c r="E23" s="2"/>
      <x:c r="F23" s="2"/>
    </x:row>
    <x:row r="24" ht="34" customHeight="1">
      <x:c r="A24" s="2"/>
      <x:c r="B24" s="12"/>
      <x:c r="C24" s="2"/>
      <x:c r="D24" s="11"/>
      <x:c r="E24" s="2"/>
      <x:c r="F24" s="2"/>
    </x:row>
    <x:row r="25" ht="34" customHeight="1">
      <x:c r="A25" s="2"/>
      <x:c r="B25" s="12"/>
      <x:c r="C25" s="2"/>
      <x:c r="D25" s="11"/>
      <x:c r="E25" s="2"/>
      <x:c r="F25" s="2"/>
    </x:row>
    <x:row r="26" ht="34" customHeight="1">
      <x:c r="A26" s="6" t="str">
        <x:v>自备联合循环算例</x:v>
      </x:c>
      <x:c r="B26" s="29" t="str">
        <x:v>输入 / 计算值</x:v>
      </x:c>
      <x:c r="C26" s="6" t="str">
        <x:v>单位</x:v>
      </x:c>
      <x:c r="D26" s="27" t="str">
        <x:v>口径</x:v>
      </x:c>
      <x:c r="E26" s="2"/>
      <x:c r="F26" s="2"/>
    </x:row>
    <x:row r="27" ht="34" customHeight="1">
      <x:c r="A27" s="2" t="str">
        <x:v>建设单价</x:v>
      </x:c>
      <x:c r="B27" s="9" t="n">
        <x:v>1086</x:v>
      </x:c>
      <x:c r="C27" s="2" t="str">
        <x:v>USD/kW</x:v>
      </x:c>
      <x:c r="D27" s="11" t="str">
        <x:v>S28：EIA 2025美元长期假设，不是2026年EPC报价</x:v>
      </x:c>
      <x:c r="E27" s="2"/>
      <x:c r="F27" s="2"/>
    </x:row>
    <x:row r="28" ht="34" customHeight="1">
      <x:c r="A28" s="2" t="str">
        <x:v>固定运维</x:v>
      </x:c>
      <x:c r="B28" s="9" t="n">
        <x:v>16.23</x:v>
      </x:c>
      <x:c r="C28" s="2" t="str">
        <x:v>USD/kW/年</x:v>
      </x:c>
      <x:c r="D28" s="11" t="str">
        <x:v>S28：长期技术假设</x:v>
      </x:c>
      <x:c r="E28" s="2"/>
      <x:c r="F28" s="2"/>
    </x:row>
    <x:row r="29" ht="34" customHeight="1">
      <x:c r="A29" s="2" t="str">
        <x:v>变动运维</x:v>
      </x:c>
      <x:c r="B29" s="9" t="n">
        <x:v>3.49</x:v>
      </x:c>
      <x:c r="C29" s="2" t="str">
        <x:v>USD/MWh</x:v>
      </x:c>
      <x:c r="D29" s="11" t="str">
        <x:v>S28：长期技术假设</x:v>
      </x:c>
      <x:c r="E29" s="2"/>
      <x:c r="F29" s="2"/>
    </x:row>
    <x:row r="30" ht="34" customHeight="1">
      <x:c r="A30" s="2" t="str">
        <x:v>热耗</x:v>
      </x:c>
      <x:c r="B30" s="30" t="n">
        <x:v>6.226</x:v>
      </x:c>
      <x:c r="C30" s="2" t="str">
        <x:v>MMBtu/MWh</x:v>
      </x:c>
      <x:c r="D30" s="11" t="str">
        <x:v>S28：6226Btu/kWh换算</x:v>
      </x:c>
      <x:c r="E30" s="2"/>
      <x:c r="F30" s="2"/>
    </x:row>
    <x:row r="31" ht="34" customHeight="1">
      <x:c r="A31" s="2" t="str">
        <x:v>资本成本率</x:v>
      </x:c>
      <x:c r="B31" s="10" t="n">
        <x:v>0.08</x:v>
      </x:c>
      <x:c r="C31" s="2" t="str"/>
      <x:c r="D31" s="11" t="str">
        <x:v>本文独立研究假设</x:v>
      </x:c>
      <x:c r="E31" s="2"/>
      <x:c r="F31" s="2"/>
    </x:row>
    <x:row r="32" ht="34" customHeight="1">
      <x:c r="A32" s="2" t="str">
        <x:v>经济寿命</x:v>
      </x:c>
      <x:c r="B32" s="9" t="n">
        <x:v>25</x:v>
      </x:c>
      <x:c r="C32" s="2" t="str">
        <x:v>年</x:v>
      </x:c>
      <x:c r="D32" s="11" t="str">
        <x:v>本文独立研究假设</x:v>
      </x:c>
      <x:c r="E32" s="2"/>
      <x:c r="F32" s="2"/>
    </x:row>
    <x:row r="33" ht="34" customHeight="1">
      <x:c r="A33" s="2" t="str">
        <x:v>容量因子</x:v>
      </x:c>
      <x:c r="B33" s="10" t="n">
        <x:v>0.85</x:v>
      </x:c>
      <x:c r="C33" s="2" t="str"/>
      <x:c r="D33" s="11" t="str">
        <x:v>本文独立研究假设；不是IT利用率</x:v>
      </x:c>
      <x:c r="E33" s="2"/>
      <x:c r="F33" s="2"/>
    </x:row>
    <x:row r="34" ht="34" customHeight="1">
      <x:c r="A34" s="2"/>
      <x:c r="B34" s="12"/>
      <x:c r="C34" s="2"/>
      <x:c r="D34" s="11"/>
      <x:c r="E34" s="2"/>
      <x:c r="F34" s="2"/>
    </x:row>
    <x:row r="35" ht="34" customHeight="1">
      <x:c r="A35" s="2" t="str">
        <x:v>资本回收系数</x:v>
      </x:c>
      <x:c r="B35" s="31" t="n">
        <x:f>IF(B31=0,1/B32,B31*(1+B31)^B32/((1+B31)^B32-1))</x:f>
        <x:v>0.09367877905196811</x:v>
      </x:c>
      <x:c r="C35" s="2" t="str"/>
      <x:c r="D35" s="11" t="str">
        <x:v>含零资本成本率边界处理</x:v>
      </x:c>
      <x:c r="E35" s="2"/>
      <x:c r="F35" s="2"/>
    </x:row>
    <x:row r="36" ht="34" customHeight="1">
      <x:c r="A36" s="2" t="str">
        <x:v>年发电量每kW</x:v>
      </x:c>
      <x:c r="B36" s="15" t="n">
        <x:f>8760*B33/1000</x:f>
        <x:v>7.446</x:v>
      </x:c>
      <x:c r="C36" s="2" t="str">
        <x:v>MWh/kW/年</x:v>
      </x:c>
      <x:c r="D36" s="11" t="str">
        <x:v>用于年固定成本摊销</x:v>
      </x:c>
      <x:c r="E36" s="2"/>
      <x:c r="F36" s="2"/>
    </x:row>
    <x:row r="37" ht="34" customHeight="1">
      <x:c r="A37" s="2" t="str">
        <x:v>资本与固定运维</x:v>
      </x:c>
      <x:c r="B37" s="15" t="n">
        <x:f>SUM(B27*B35,B28)/B36</x:f>
        <x:v>15.842755043034835</x:v>
      </x:c>
      <x:c r="C37" s="2" t="str">
        <x:v>USD/MWh</x:v>
      </x:c>
      <x:c r="D37" s="11" t="str">
        <x:v>不含燃料、变动运维与其他配套</x:v>
      </x:c>
      <x:c r="E37" s="2"/>
      <x:c r="F37" s="2"/>
    </x:row>
    <x:row r="38" ht="34" customHeight="1">
      <x:c r="A38" s="2"/>
      <x:c r="B38" s="12"/>
      <x:c r="C38" s="2"/>
      <x:c r="D38" s="11"/>
      <x:c r="E38" s="2"/>
      <x:c r="F38" s="2"/>
    </x:row>
    <x:row r="39" ht="34" customHeight="1">
      <x:c r="A39" s="2"/>
      <x:c r="B39" s="12"/>
      <x:c r="C39" s="2"/>
      <x:c r="D39" s="11"/>
      <x:c r="E39" s="2"/>
      <x:c r="F39" s="2"/>
    </x:row>
    <x:row r="40" ht="34" customHeight="1">
      <x:c r="A40" s="6" t="str">
        <x:v>气价情景 USD/MMBtu</x:v>
      </x:c>
      <x:c r="B40" s="29" t="str">
        <x:v>发电侧成本 USD/MWh</x:v>
      </x:c>
      <x:c r="C40" s="6" t="str">
        <x:v>燃料占比</x:v>
      </x:c>
      <x:c r="D40" s="27" t="str">
        <x:v>范围</x:v>
      </x:c>
      <x:c r="E40" s="2"/>
      <x:c r="F40" s="2"/>
    </x:row>
    <x:row r="41" ht="34" customHeight="1">
      <x:c r="A41" s="2" t="n">
        <x:v>3</x:v>
      </x:c>
      <x:c r="B41" s="12" t="n">
        <x:f>$B$37+A41*$B$30+$B$29</x:f>
        <x:v>38.01075504303484</x:v>
      </x:c>
      <x:c r="C41" s="13" t="n">
        <x:f>A41*$B$30/B41</x:f>
        <x:v>0.4913872397128978</x:v>
      </x:c>
      <x:c r="D41" s="11" t="str">
        <x:v>不含燃料管线、备用、接入、碳排放等费用</x:v>
      </x:c>
      <x:c r="E41" s="2"/>
      <x:c r="F41" s="2"/>
    </x:row>
    <x:row r="42" ht="34" customHeight="1">
      <x:c r="A42" s="2" t="n">
        <x:v>6</x:v>
      </x:c>
      <x:c r="B42" s="12" t="n">
        <x:f>$B$37+A42*$B$30+$B$29</x:f>
        <x:v>56.68875504303484</x:v>
      </x:c>
      <x:c r="C42" s="13" t="n">
        <x:f>A42*$B$30/B42</x:f>
        <x:v>0.6589666675805718</x:v>
      </x:c>
      <x:c r="D42" s="11" t="str">
        <x:v>不含燃料管线、备用、接入、碳排放等费用</x:v>
      </x:c>
      <x:c r="E42" s="2"/>
      <x:c r="F42" s="2"/>
    </x:row>
    <x:row r="43" ht="34" customHeight="1">
      <x:c r="A43" s="2" t="n">
        <x:v>9</x:v>
      </x:c>
      <x:c r="B43" s="12" t="n">
        <x:f>$B$37+A43*$B$30+$B$29</x:f>
        <x:v>75.36675504303483</x:v>
      </x:c>
      <x:c r="C43" s="13" t="n">
        <x:f>A43*$B$30/B43</x:f>
        <x:v>0.743484311723442</x:v>
      </x:c>
      <x:c r="D43" s="11" t="str">
        <x:v>不含燃料管线、备用、接入、碳排放等费用</x:v>
      </x:c>
      <x:c r="E43" s="2"/>
      <x:c r="F43" s="2"/>
    </x:row>
    <x:row r="44" ht="34" customHeight="1">
      <x:c r="A44" s="2"/>
      <x:c r="B44" s="12"/>
      <x:c r="C44" s="2"/>
      <x:c r="D44" s="11"/>
      <x:c r="E44" s="2"/>
      <x:c r="F44" s="2"/>
    </x:row>
    <x:row r="45" ht="34" customHeight="1">
      <x:c r="A45" s="2"/>
      <x:c r="B45" s="12"/>
      <x:c r="C45" s="2"/>
      <x:c r="D45" s="11"/>
      <x:c r="E45" s="2"/>
      <x:c r="F45" s="2"/>
    </x:row>
    <x:row r="46" ht="34" customHeight="1">
      <x:c r="A46" s="2" t="str">
        <x:v>更高建设价情景</x:v>
      </x:c>
      <x:c r="B46" s="9" t="n">
        <x:v>2500</x:v>
      </x:c>
      <x:c r="C46" s="2" t="str">
        <x:v>USD/kW</x:v>
      </x:c>
      <x:c r="D46" s="11" t="str">
        <x:v>独立敏感性，不是现货报价</x:v>
      </x:c>
      <x:c r="E46" s="2"/>
      <x:c r="F46" s="2"/>
    </x:row>
    <x:row r="47" ht="34" customHeight="1">
      <x:c r="A47" s="2" t="str">
        <x:v>建设价上升的单位成本增量</x:v>
      </x:c>
      <x:c r="B47" s="15" t="n">
        <x:f>(B46-B27)*B35/B36</x:f>
        <x:v>17.789658014972186</x:v>
      </x:c>
      <x:c r="C47" s="2" t="str">
        <x:v>USD/MWh</x:v>
      </x:c>
      <x:c r="D47" s="11" t="str">
        <x:v>其他假设不变</x:v>
      </x:c>
      <x:c r="E47" s="2"/>
      <x:c r="F47" s="2"/>
    </x:row>
    <x:row r="48" ht="34" customHeight="1">
      <x:c r="A48" s="2"/>
      <x:c r="B48" s="12"/>
      <x:c r="C48" s="2"/>
      <x:c r="D48" s="11"/>
      <x:c r="E48" s="2"/>
      <x:c r="F48" s="2"/>
    </x:row>
    <x:row r="49" ht="34" customHeight="1">
      <x:c r="A49" s="2"/>
      <x:c r="B49" s="12"/>
      <x:c r="C49" s="2"/>
      <x:c r="D49" s="11"/>
      <x:c r="E49" s="2"/>
      <x:c r="F49" s="2"/>
    </x:row>
    <x:row r="50" ht="34" customHeight="1">
      <x:c r="A50" s="6" t="str">
        <x:v>直流供电示例</x:v>
      </x:c>
      <x:c r="B50" s="29" t="str">
        <x:v>输入 / 计算值</x:v>
      </x:c>
      <x:c r="C50" s="6" t="str">
        <x:v>单位</x:v>
      </x:c>
      <x:c r="D50" s="27" t="str">
        <x:v>口径</x:v>
      </x:c>
      <x:c r="E50" s="2"/>
      <x:c r="F50" s="2"/>
    </x:row>
    <x:row r="51" ht="34" customHeight="1">
      <x:c r="A51" s="2" t="str">
        <x:v>直流段功率</x:v>
      </x:c>
      <x:c r="B51" s="9" t="n">
        <x:v>220000</x:v>
      </x:c>
      <x:c r="C51" s="2" t="str">
        <x:v>W</x:v>
      </x:c>
      <x:c r="D51" s="11" t="str">
        <x:v>研究算例；忽略损耗，不代表整座机房转换效率</x:v>
      </x:c>
      <x:c r="E51" s="2"/>
      <x:c r="F51" s="2"/>
    </x:row>
    <x:row r="52" ht="34" customHeight="1">
      <x:c r="A52" s="2" t="str">
        <x:v>较低直流电压</x:v>
      </x:c>
      <x:c r="B52" s="9" t="n">
        <x:v>54</x:v>
      </x:c>
      <x:c r="C52" s="2" t="str">
        <x:v>V</x:v>
      </x:c>
      <x:c r="D52" s="11" t="str">
        <x:v>S27：参考架构</x:v>
      </x:c>
      <x:c r="E52" s="2"/>
      <x:c r="F52" s="2"/>
    </x:row>
    <x:row r="53" ht="34" customHeight="1">
      <x:c r="A53" s="2" t="str">
        <x:v>较高直流电压</x:v>
      </x:c>
      <x:c r="B53" s="9" t="n">
        <x:v>800</x:v>
      </x:c>
      <x:c r="C53" s="2" t="str">
        <x:v>V</x:v>
      </x:c>
      <x:c r="D53" s="11" t="str">
        <x:v>S27：架构方向</x:v>
      </x:c>
      <x:c r="E53" s="2"/>
      <x:c r="F53" s="2"/>
    </x:row>
    <x:row r="54" ht="34" customHeight="1">
      <x:c r="A54" s="2" t="str">
        <x:v>54V对应电流</x:v>
      </x:c>
      <x:c r="B54" s="15" t="n">
        <x:f>B51/B52</x:f>
        <x:v>4074.074074074074</x:v>
      </x:c>
      <x:c r="C54" s="2" t="str">
        <x:v>A</x:v>
      </x:c>
      <x:c r="D54" s="11" t="str">
        <x:v>I=P/V</x:v>
      </x:c>
      <x:c r="E54" s="2"/>
      <x:c r="F54" s="2"/>
    </x:row>
    <x:row r="55" ht="34" customHeight="1">
      <x:c r="A55" s="2" t="str">
        <x:v>800V对应电流</x:v>
      </x:c>
      <x:c r="B55" s="15" t="n">
        <x:f>B51/B53</x:f>
        <x:v>275</x:v>
      </x:c>
      <x:c r="C55" s="2" t="str">
        <x:v>A</x:v>
      </x:c>
      <x:c r="D55" s="11" t="str">
        <x:v>仍需变换、隔离和保护</x:v>
      </x:c>
      <x:c r="E55" s="2"/>
      <x:c r="F55" s="2"/>
    </x:row>
    <x:row r="56" ht="23" customHeight="1">
      <x:c r="A56" s="2"/>
      <x:c r="B56" s="2"/>
      <x:c r="C56" s="2"/>
      <x:c r="D56" s="11"/>
      <x:c r="E56" s="2"/>
      <x:c r="F56" s="2"/>
    </x:row>
    <x:row r="57" ht="23" customHeight="1">
      <x:c r="A57" s="2"/>
      <x:c r="B57" s="2"/>
      <x:c r="C57" s="2"/>
      <x:c r="D57" s="11"/>
      <x:c r="E57" s="2"/>
      <x:c r="F57" s="2"/>
    </x:row>
    <x:row r="58" ht="23" customHeight="1">
      <x:c r="A58" s="2"/>
      <x:c r="B58" s="2"/>
      <x:c r="C58" s="2"/>
      <x:c r="D58" s="11"/>
      <x:c r="E58" s="2"/>
      <x:c r="F58" s="2"/>
    </x:row>
    <x:row r="59" ht="23" customHeight="1">
      <x:c r="A59" s="2"/>
      <x:c r="B59" s="2"/>
      <x:c r="C59" s="2"/>
      <x:c r="D59" s="11"/>
      <x:c r="E59" s="2"/>
      <x:c r="F59" s="2"/>
    </x:row>
    <x:row r="60" ht="23" customHeight="1">
      <x:c r="A60" s="2"/>
      <x:c r="B60" s="2"/>
      <x:c r="C60" s="2"/>
      <x:c r="D60" s="11"/>
      <x:c r="E60" s="2"/>
      <x:c r="F60" s="2"/>
    </x:row>
    <x:row r="61" ht="23" customHeight="1">
      <x:c r="A61" s="2"/>
      <x:c r="B61" s="2"/>
      <x:c r="C61" s="2"/>
      <x:c r="D61" s="11"/>
      <x:c r="E61" s="2"/>
      <x:c r="F61" s="2"/>
    </x:row>
    <x:row r="62" ht="23" customHeight="1">
      <x:c r="A62" s="2"/>
      <x:c r="B62" s="2"/>
      <x:c r="C62" s="2"/>
      <x:c r="D62" s="11"/>
      <x:c r="E62" s="2"/>
      <x:c r="F62" s="2"/>
    </x:row>
    <x:row r="63" ht="23" customHeight="1">
      <x:c r="A63" s="2"/>
      <x:c r="B63" s="2"/>
      <x:c r="C63" s="2"/>
      <x:c r="D63" s="11"/>
      <x:c r="E63" s="2"/>
      <x:c r="F63" s="2"/>
    </x:row>
    <x:row r="64" ht="23" customHeight="1">
      <x:c r="A64" s="2"/>
      <x:c r="B64" s="2"/>
      <x:c r="C64" s="2"/>
      <x:c r="D64" s="11"/>
      <x:c r="E64" s="2"/>
      <x:c r="F64" s="2"/>
    </x:row>
    <x:row r="65" ht="23" customHeight="1">
      <x:c r="A65" s="2"/>
      <x:c r="B65" s="2"/>
      <x:c r="C65" s="2"/>
      <x:c r="D65" s="11"/>
      <x:c r="E65" s="2"/>
      <x:c r="F65" s="2"/>
    </x:row>
    <x:row r="66" ht="23" customHeight="1">
      <x:c r="A66" s="2"/>
      <x:c r="B66" s="2"/>
      <x:c r="C66" s="2"/>
      <x:c r="D66" s="11"/>
      <x:c r="E66" s="2"/>
      <x:c r="F66" s="2"/>
    </x:row>
    <x:row r="67" ht="23" customHeight="1">
      <x:c r="A67" s="2"/>
      <x:c r="B67" s="2"/>
      <x:c r="C67" s="2"/>
      <x:c r="D67" s="11"/>
      <x:c r="E67" s="2"/>
      <x:c r="F67" s="2"/>
    </x:row>
    <x:row r="68" ht="23" customHeight="1">
      <x:c r="A68" s="2"/>
      <x:c r="B68" s="2"/>
      <x:c r="C68" s="2"/>
      <x:c r="D68" s="11"/>
      <x:c r="E68" s="2"/>
      <x:c r="F68" s="2"/>
    </x:row>
    <x:row r="69" ht="23" customHeight="1">
      <x:c r="A69" s="2"/>
      <x:c r="B69" s="2"/>
      <x:c r="C69" s="2"/>
      <x:c r="D69" s="11"/>
      <x:c r="E69" s="2"/>
      <x:c r="F69" s="2"/>
    </x:row>
    <x:row r="70" ht="23" customHeight="1">
      <x:c r="A70" s="2"/>
      <x:c r="B70" s="2"/>
      <x:c r="C70" s="2"/>
      <x:c r="D70" s="11"/>
      <x:c r="E70" s="2"/>
      <x:c r="F70" s="2"/>
    </x:row>
    <x:row r="71" ht="23" customHeight="1">
      <x:c r="A71" s="2"/>
      <x:c r="B71" s="2"/>
      <x:c r="C71" s="2"/>
      <x:c r="D71" s="11"/>
      <x:c r="E71" s="2"/>
      <x:c r="F71" s="2"/>
    </x:row>
    <x:row r="72" ht="23" customHeight="1">
      <x:c r="A72" s="2"/>
      <x:c r="B72" s="2"/>
      <x:c r="C72" s="2"/>
      <x:c r="D72" s="11"/>
      <x:c r="E72" s="2"/>
      <x:c r="F72" s="2"/>
    </x:row>
    <x:row r="73" ht="23" customHeight="1">
      <x:c r="A73" s="2"/>
      <x:c r="B73" s="2"/>
      <x:c r="C73" s="2"/>
      <x:c r="D73" s="11"/>
      <x:c r="E73" s="2"/>
      <x:c r="F73" s="2"/>
    </x:row>
    <x:row r="74" ht="23" customHeight="1">
      <x:c r="A74" s="2"/>
      <x:c r="B74" s="2"/>
      <x:c r="C74" s="2"/>
      <x:c r="D74" s="11"/>
      <x:c r="E74" s="2"/>
      <x:c r="F74" s="2"/>
    </x:row>
    <x:row r="75" ht="23" customHeight="1">
      <x:c r="A75" s="2"/>
      <x:c r="B75" s="2"/>
      <x:c r="C75" s="2"/>
      <x:c r="D75" s="11"/>
      <x:c r="E75" s="2"/>
      <x:c r="F75" s="2"/>
    </x:row>
    <x:row r="76" ht="23" customHeight="1">
      <x:c r="A76" s="2"/>
      <x:c r="B76" s="2"/>
      <x:c r="C76" s="2"/>
      <x:c r="D76" s="11"/>
      <x:c r="E76" s="2"/>
      <x:c r="F76" s="2"/>
    </x:row>
    <x:row r="77" ht="23" customHeight="1">
      <x:c r="A77" s="2"/>
      <x:c r="B77" s="2"/>
      <x:c r="C77" s="2"/>
      <x:c r="D77" s="11"/>
      <x:c r="E77" s="2"/>
      <x:c r="F77" s="2"/>
    </x:row>
    <x:row r="78" ht="23" customHeight="1">
      <x:c r="A78" s="2"/>
      <x:c r="B78" s="2"/>
      <x:c r="C78" s="2"/>
      <x:c r="D78" s="11"/>
      <x:c r="E78" s="2"/>
      <x:c r="F78" s="2"/>
    </x:row>
    <x:row r="79" ht="23" customHeight="1">
      <x:c r="A79" s="2"/>
      <x:c r="B79" s="2"/>
      <x:c r="C79" s="2"/>
      <x:c r="D79" s="11"/>
      <x:c r="E79" s="2"/>
      <x:c r="F79" s="2"/>
    </x:row>
    <x:row r="80" ht="23" customHeight="1">
      <x:c r="A80" s="2"/>
      <x:c r="B80" s="2"/>
      <x:c r="C80" s="2"/>
      <x:c r="D80" s="11"/>
      <x:c r="E80" s="2"/>
      <x:c r="F80" s="2"/>
    </x:row>
    <x:row r="81" ht="23" customHeight="1">
      <x:c r="A81" s="2"/>
      <x:c r="B81" s="2"/>
      <x:c r="C81" s="2"/>
      <x:c r="D81" s="11"/>
      <x:c r="E81" s="2"/>
      <x:c r="F81" s="2"/>
    </x:row>
    <x:row r="82" ht="23" customHeight="1">
      <x:c r="A82" s="2"/>
      <x:c r="B82" s="2"/>
      <x:c r="C82" s="2"/>
      <x:c r="D82" s="11"/>
      <x:c r="E82" s="2"/>
      <x:c r="F82" s="2"/>
    </x:row>
    <x:row r="83" ht="23" customHeight="1">
      <x:c r="A83" s="2"/>
      <x:c r="B83" s="2"/>
      <x:c r="C83" s="2"/>
      <x:c r="D83" s="11"/>
      <x:c r="E83" s="2"/>
      <x:c r="F83" s="2"/>
    </x:row>
    <x:row r="84" ht="23" customHeight="1">
      <x:c r="A84" s="2"/>
      <x:c r="B84" s="2"/>
      <x:c r="C84" s="2"/>
      <x:c r="D84" s="11"/>
      <x:c r="E84" s="2"/>
      <x:c r="F84" s="2"/>
    </x:row>
    <x:row r="85" ht="23" customHeight="1">
      <x:c r="A85" s="2"/>
      <x:c r="B85" s="2"/>
      <x:c r="C85" s="2"/>
      <x:c r="D85" s="11"/>
      <x:c r="E85" s="2"/>
      <x:c r="F85" s="2"/>
    </x:row>
    <x:row r="86" ht="23" customHeight="1">
      <x:c r="A86" s="2"/>
      <x:c r="B86" s="2"/>
      <x:c r="C86" s="2"/>
      <x:c r="D86" s="11"/>
      <x:c r="E86" s="2"/>
      <x:c r="F86" s="2"/>
    </x:row>
    <x:row r="87" ht="23" customHeight="1">
      <x:c r="A87" s="2"/>
      <x:c r="B87" s="2"/>
      <x:c r="C87" s="2"/>
      <x:c r="D87" s="11"/>
      <x:c r="E87" s="2"/>
      <x:c r="F87" s="2"/>
    </x:row>
    <x:row r="88" ht="23" customHeight="1">
      <x:c r="A88" s="2"/>
      <x:c r="B88" s="2"/>
      <x:c r="C88" s="2"/>
      <x:c r="D88" s="11"/>
      <x:c r="E88" s="2"/>
      <x:c r="F88" s="2"/>
    </x:row>
    <x:row r="89" ht="23" customHeight="1">
      <x:c r="A89" s="2"/>
      <x:c r="B89" s="2"/>
      <x:c r="C89" s="2"/>
      <x:c r="D89" s="11"/>
      <x:c r="E89" s="2"/>
      <x:c r="F89" s="2"/>
    </x:row>
    <x:row r="90" ht="23" customHeight="1">
      <x:c r="A90" s="2"/>
      <x:c r="B90" s="2"/>
      <x:c r="C90" s="2"/>
      <x:c r="D90" s="11"/>
      <x:c r="E90" s="2"/>
      <x:c r="F90" s="2"/>
    </x:row>
  </x:sheetData>
  <x:mergeCells>
    <x:mergeCell ref="A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E45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19" hidden="0" customWidth="1"/>
    <x:col min="4" max="4" width="68" hidden="0" customWidth="1"/>
  </x:cols>
  <x:sheetData>
    <x:row r="1" ht="23" customHeight="1">
      <x:c r="A1" s="2"/>
      <x:c r="B1" s="2"/>
      <x:c r="C1" s="2"/>
      <x:c r="D1" s="11"/>
      <x:c r="E1" s="2"/>
      <x:c r="F1" s="2"/>
    </x:row>
    <x:row r="2" ht="31" customHeight="1">
      <x:c r="A2" s="4" t="str">
        <x:v>运行披露与现金回收</x:v>
      </x:c>
      <x:c r="B2" s="4"/>
      <x:c r="C2" s="4"/>
      <x:c r="D2" s="25"/>
      <x:c r="E2" s="2"/>
      <x:c r="F2" s="2"/>
    </x:row>
    <x:row r="3" ht="23" customHeight="1">
      <x:c r="A3" s="2" t="str">
        <x:v>原始披露与研究算例分段展示；指标不可跨口径相加。</x:v>
      </x:c>
      <x:c r="B3" s="2"/>
      <x:c r="C3" s="2"/>
      <x:c r="D3" s="11"/>
      <x:c r="E3" s="2"/>
      <x:c r="F3" s="2"/>
    </x:row>
    <x:row r="4" ht="23" customHeight="1">
      <x:c r="A4" s="2"/>
      <x:c r="B4" s="2"/>
      <x:c r="C4" s="2"/>
      <x:c r="D4" s="11"/>
      <x:c r="E4" s="2"/>
      <x:c r="F4" s="2"/>
    </x:row>
    <x:row r="5" ht="27" customHeight="1">
      <x:c r="A5" s="6" t="str">
        <x:v>DeepSeek历史窗口</x:v>
      </x:c>
      <x:c r="B5" s="6" t="str">
        <x:v>披露 / 计算值</x:v>
      </x:c>
      <x:c r="C5" s="6" t="str">
        <x:v>单位</x:v>
      </x:c>
      <x:c r="D5" s="27" t="str">
        <x:v>口径</x:v>
      </x:c>
      <x:c r="E5" s="2"/>
      <x:c r="F5" s="2"/>
    </x:row>
    <x:row r="6" ht="36" customHeight="1">
      <x:c r="A6" s="2" t="str">
        <x:v>GPU运行成本</x:v>
      </x:c>
      <x:c r="B6" s="9" t="n">
        <x:v>87072</x:v>
      </x:c>
      <x:c r="C6" s="12" t="str">
        <x:v>USD</x:v>
      </x:c>
      <x:c r="D6" s="11" t="str">
        <x:v>S29：2025年2月27—28日的24小时窗口</x:v>
      </x:c>
      <x:c r="E6" s="2"/>
      <x:c r="F6" s="2"/>
    </x:row>
    <x:row r="7" ht="36" customHeight="1">
      <x:c r="A7" s="2" t="str">
        <x:v>按标准价理论收入</x:v>
      </x:c>
      <x:c r="B7" s="9" t="n">
        <x:v>562027</x:v>
      </x:c>
      <x:c r="C7" s="12" t="str">
        <x:v>USD</x:v>
      </x:c>
      <x:c r="D7" s="11" t="str">
        <x:v>S29：未按折扣、免费服务调整</x:v>
      </x:c>
      <x:c r="E7" s="2"/>
      <x:c r="F7" s="2"/>
    </x:row>
    <x:row r="8" ht="36" customHeight="1">
      <x:c r="A8" s="2" t="str">
        <x:v>实际收入</x:v>
      </x:c>
      <x:c r="B8" s="12" t="str">
        <x:v>未披露</x:v>
      </x:c>
      <x:c r="C8" s="12" t="str">
        <x:v>USD</x:v>
      </x:c>
      <x:c r="D8" s="11" t="str">
        <x:v>这组数据不能验证真实收入与公司净利润</x:v>
      </x:c>
      <x:c r="E8" s="2"/>
      <x:c r="F8" s="2"/>
    </x:row>
    <x:row r="9" ht="36" customHeight="1">
      <x:c r="A9" s="2"/>
      <x:c r="B9" s="12"/>
      <x:c r="C9" s="12"/>
      <x:c r="D9" s="11"/>
      <x:c r="E9" s="2"/>
      <x:c r="F9" s="2"/>
    </x:row>
    <x:row r="10" ht="36" customHeight="1">
      <x:c r="A10" s="2" t="str">
        <x:v>差额 / GPU成本</x:v>
      </x:c>
      <x:c r="B10" s="16" t="n">
        <x:f>(B7-B6)/B6</x:f>
        <x:v>5.454738607129732</x:v>
      </x:c>
      <x:c r="C10" s="12" t="str"/>
      <x:c r="D10" s="11" t="str">
        <x:v>分母为GPU成本，不是收入</x:v>
      </x:c>
      <x:c r="E10" s="2"/>
      <x:c r="F10" s="2"/>
    </x:row>
    <x:row r="11" ht="36" customHeight="1">
      <x:c r="A11" s="2" t="str">
        <x:v>差额 / 理论收入</x:v>
      </x:c>
      <x:c r="B11" s="16" t="n">
        <x:f>(B7-B6)/B7</x:f>
        <x:v>0.8450750586715585</x:v>
      </x:c>
      <x:c r="C11" s="12" t="str"/>
      <x:c r="D11" s="11" t="str">
        <x:v>仍不是实际净利润率</x:v>
      </x:c>
      <x:c r="E11" s="2"/>
      <x:c r="F11" s="2"/>
    </x:row>
    <x:row r="12" ht="36" customHeight="1">
      <x:c r="A12" s="2"/>
      <x:c r="B12" s="12"/>
      <x:c r="C12" s="12"/>
      <x:c r="D12" s="11"/>
      <x:c r="E12" s="2"/>
      <x:c r="F12" s="2"/>
    </x:row>
    <x:row r="13" ht="36" customHeight="1">
      <x:c r="A13" s="2"/>
      <x:c r="B13" s="12"/>
      <x:c r="C13" s="12"/>
      <x:c r="D13" s="11"/>
      <x:c r="E13" s="2"/>
      <x:c r="F13" s="2"/>
    </x:row>
    <x:row r="14" ht="36" customHeight="1">
      <x:c r="A14" s="6" t="str">
        <x:v>CoreWeave 2026 Q2</x:v>
      </x:c>
      <x:c r="B14" s="29" t="str">
        <x:v>披露 / 计算值</x:v>
      </x:c>
      <x:c r="C14" s="29" t="str">
        <x:v>单位</x:v>
      </x:c>
      <x:c r="D14" s="27" t="str">
        <x:v>口径</x:v>
      </x:c>
      <x:c r="E14" s="2"/>
      <x:c r="F14" s="2"/>
    </x:row>
    <x:row r="15" ht="36" customHeight="1">
      <x:c r="A15" s="2" t="str">
        <x:v>营收</x:v>
      </x:c>
      <x:c r="B15" s="12" t="n">
        <x:v>2575</x:v>
      </x:c>
      <x:c r="C15" s="12" t="str">
        <x:v>USD million</x:v>
      </x:c>
      <x:c r="D15" s="11" t="str">
        <x:v>S30：2026年第二季度，未经审计；调整后EBITDA为非GAAP</x:v>
      </x:c>
      <x:c r="E15" s="2"/>
      <x:c r="F15" s="2"/>
    </x:row>
    <x:row r="16" ht="36" customHeight="1">
      <x:c r="A16" s="2" t="str">
        <x:v>调整后EBITDA</x:v>
      </x:c>
      <x:c r="B16" s="12" t="n">
        <x:v>1510</x:v>
      </x:c>
      <x:c r="C16" s="12" t="str">
        <x:v>USD million</x:v>
      </x:c>
      <x:c r="D16" s="11" t="str">
        <x:v>S30：2026年第二季度，未经审计；调整后EBITDA为非GAAP</x:v>
      </x:c>
      <x:c r="E16" s="2"/>
      <x:c r="F16" s="2"/>
    </x:row>
    <x:row r="17" ht="36" customHeight="1">
      <x:c r="A17" s="2" t="str">
        <x:v>净亏损</x:v>
      </x:c>
      <x:c r="B17" s="12" t="n">
        <x:v>-626</x:v>
      </x:c>
      <x:c r="C17" s="12" t="str">
        <x:v>USD million</x:v>
      </x:c>
      <x:c r="D17" s="11" t="str">
        <x:v>S30：2026年第二季度，未经审计；调整后EBITDA为非GAAP</x:v>
      </x:c>
      <x:c r="E17" s="2"/>
      <x:c r="F17" s="2"/>
    </x:row>
    <x:row r="18" ht="36" customHeight="1">
      <x:c r="A18" s="2" t="str">
        <x:v>折旧摊销</x:v>
      </x:c>
      <x:c r="B18" s="12" t="n">
        <x:v>1393</x:v>
      </x:c>
      <x:c r="C18" s="12" t="str">
        <x:v>USD million</x:v>
      </x:c>
      <x:c r="D18" s="11" t="str">
        <x:v>S30：2026年第二季度，未经审计；调整后EBITDA为非GAAP</x:v>
      </x:c>
      <x:c r="E18" s="2"/>
      <x:c r="F18" s="2"/>
    </x:row>
    <x:row r="19" ht="36" customHeight="1">
      <x:c r="A19" s="2" t="str">
        <x:v>净利息费用</x:v>
      </x:c>
      <x:c r="B19" s="12" t="n">
        <x:v>640</x:v>
      </x:c>
      <x:c r="C19" s="12" t="str">
        <x:v>USD million</x:v>
      </x:c>
      <x:c r="D19" s="11" t="str">
        <x:v>S30：2026年第二季度，未经审计；调整后EBITDA为非GAAP</x:v>
      </x:c>
      <x:c r="E19" s="2"/>
      <x:c r="F19" s="2"/>
    </x:row>
    <x:row r="20" ht="36" customHeight="1">
      <x:c r="A20" s="2" t="str">
        <x:v>经营现金流</x:v>
      </x:c>
      <x:c r="B20" s="12" t="n">
        <x:v>679</x:v>
      </x:c>
      <x:c r="C20" s="12" t="str">
        <x:v>USD million</x:v>
      </x:c>
      <x:c r="D20" s="11" t="str">
        <x:v>S30：2026年第二季度，未经审计；调整后EBITDA为非GAAP</x:v>
      </x:c>
      <x:c r="E20" s="2"/>
      <x:c r="F20" s="2"/>
    </x:row>
    <x:row r="21" ht="36" customHeight="1">
      <x:c r="A21" s="2" t="str">
        <x:v>购建设备等现金</x:v>
      </x:c>
      <x:c r="B21" s="12" t="n">
        <x:v>6422</x:v>
      </x:c>
      <x:c r="C21" s="12" t="str">
        <x:v>USD million</x:v>
      </x:c>
      <x:c r="D21" s="11" t="str">
        <x:v>S30：2026年第二季度，未经审计；调整后EBITDA为非GAAP</x:v>
      </x:c>
      <x:c r="E21" s="2"/>
      <x:c r="F21" s="2"/>
    </x:row>
    <x:row r="22" ht="36" customHeight="1">
      <x:c r="A22" s="2"/>
      <x:c r="B22" s="12"/>
      <x:c r="C22" s="12"/>
      <x:c r="D22" s="11"/>
      <x:c r="E22" s="2"/>
      <x:c r="F22" s="2"/>
    </x:row>
    <x:row r="23" ht="36" customHeight="1">
      <x:c r="A23" s="2" t="str">
        <x:v>经营现金流减购建设备现金</x:v>
      </x:c>
      <x:c r="B23" s="15" t="n">
        <x:f>B20-B21</x:f>
        <x:v>-5743</x:v>
      </x:c>
      <x:c r="C23" s="12" t="str">
        <x:v>USD million</x:v>
      </x:c>
      <x:c r="D23" s="11" t="str">
        <x:v>仅两项现金相减，不代表公司定义的自由现金流</x:v>
      </x:c>
      <x:c r="E23" s="2"/>
      <x:c r="F23" s="2"/>
    </x:row>
    <x:row r="24" ht="36" customHeight="1">
      <x:c r="A24" s="2"/>
      <x:c r="B24" s="12"/>
      <x:c r="C24" s="12"/>
      <x:c r="D24" s="11"/>
      <x:c r="E24" s="2"/>
      <x:c r="F24" s="2"/>
    </x:row>
    <x:row r="25" ht="36" customHeight="1">
      <x:c r="A25" s="2"/>
      <x:c r="B25" s="12"/>
      <x:c r="C25" s="12"/>
      <x:c r="D25" s="11"/>
      <x:c r="E25" s="2"/>
      <x:c r="F25" s="2"/>
    </x:row>
    <x:row r="26" ht="36" customHeight="1">
      <x:c r="A26" s="6" t="str">
        <x:v>独立NPV算例</x:v>
      </x:c>
      <x:c r="B26" s="29" t="str">
        <x:v>输入</x:v>
      </x:c>
      <x:c r="C26" s="29" t="str">
        <x:v>单位</x:v>
      </x:c>
      <x:c r="D26" s="27" t="str">
        <x:v>口径</x:v>
      </x:c>
      <x:c r="E26" s="2"/>
      <x:c r="F26" s="2"/>
    </x:row>
    <x:row r="27" ht="36" customHeight="1">
      <x:c r="A27" s="2" t="str">
        <x:v>期初投资</x:v>
      </x:c>
      <x:c r="B27" s="9" t="n">
        <x:v>100</x:v>
      </x:c>
      <x:c r="C27" s="12" t="str">
        <x:v>模型金额单位</x:v>
      </x:c>
      <x:c r="D27" s="11" t="str">
        <x:v>假设；与100MW年度成本模型独立</x:v>
      </x:c>
      <x:c r="E27" s="2"/>
      <x:c r="F27" s="2"/>
    </x:row>
    <x:row r="28" ht="36" customHeight="1">
      <x:c r="A28" s="2" t="str">
        <x:v>每年净现金流</x:v>
      </x:c>
      <x:c r="B28" s="9" t="n">
        <x:v>30</x:v>
      </x:c>
      <x:c r="C28" s="12" t="str">
        <x:v>模型金额单位</x:v>
      </x:c>
      <x:c r="D28" s="11" t="str">
        <x:v>第1至5年，年末收款；已假设净额</x:v>
      </x:c>
      <x:c r="E28" s="2"/>
      <x:c r="F28" s="2"/>
    </x:row>
    <x:row r="29" ht="36" customHeight="1">
      <x:c r="A29" s="2" t="str">
        <x:v>折现率</x:v>
      </x:c>
      <x:c r="B29" s="10" t="n">
        <x:v>0.1</x:v>
      </x:c>
      <x:c r="C29" s="12" t="str"/>
      <x:c r="D29" s="11" t="str">
        <x:v>假设</x:v>
      </x:c>
      <x:c r="E29" s="2"/>
      <x:c r="F29" s="2"/>
    </x:row>
    <x:row r="30" ht="36" customHeight="1">
      <x:c r="A30" s="2"/>
      <x:c r="B30" s="12"/>
      <x:c r="C30" s="12"/>
      <x:c r="D30" s="11"/>
      <x:c r="E30" s="2"/>
      <x:c r="F30" s="2"/>
    </x:row>
    <x:row r="31" ht="36" customHeight="1">
      <x:c r="A31" s="2"/>
      <x:c r="B31" s="12"/>
      <x:c r="C31" s="12"/>
      <x:c r="D31" s="11"/>
      <x:c r="E31" s="2"/>
      <x:c r="F31" s="2"/>
    </x:row>
    <x:row r="32" ht="36" customHeight="1">
      <x:c r="A32" s="6" t="str">
        <x:v>年末</x:v>
      </x:c>
      <x:c r="B32" s="29" t="str">
        <x:v>按期现金流</x:v>
      </x:c>
      <x:c r="C32" s="29" t="str">
        <x:v>晚一年 / 第5年退出</x:v>
      </x:c>
      <x:c r="D32" s="27" t="str">
        <x:v>解释</x:v>
      </x:c>
      <x:c r="E32" s="2"/>
      <x:c r="F32" s="2"/>
    </x:row>
    <x:row r="33" ht="36" customHeight="1">
      <x:c r="A33" s="2" t="n">
        <x:v>0</x:v>
      </x:c>
      <x:c r="B33" s="12" t="n">
        <x:f>-$B$27</x:f>
        <x:v>-100</x:v>
      </x:c>
      <x:c r="C33" s="12" t="n">
        <x:f>-$B$27</x:f>
        <x:v>-100</x:v>
      </x:c>
      <x:c r="D33" s="11" t="str">
        <x:v>期初投入</x:v>
      </x:c>
      <x:c r="E33" s="2"/>
      <x:c r="F33" s="2"/>
    </x:row>
    <x:row r="34" ht="36" customHeight="1">
      <x:c r="A34" s="2" t="n">
        <x:v>1</x:v>
      </x:c>
      <x:c r="B34" s="12" t="n">
        <x:f>$B$28</x:f>
        <x:v>30</x:v>
      </x:c>
      <x:c r="C34" s="12" t="n">
        <x:f>0</x:f>
        <x:v>0</x:v>
      </x:c>
      <x:c r="D34" s="11" t="str">
        <x:v>延后情景首年不产生现金流</x:v>
      </x:c>
      <x:c r="E34" s="2"/>
      <x:c r="F34" s="2"/>
    </x:row>
    <x:row r="35" ht="36" customHeight="1">
      <x:c r="A35" s="2" t="n">
        <x:v>2</x:v>
      </x:c>
      <x:c r="B35" s="12" t="n">
        <x:f>$B$28</x:f>
        <x:v>30</x:v>
      </x:c>
      <x:c r="C35" s="12" t="n">
        <x:f>$B$28</x:f>
        <x:v>30</x:v>
      </x:c>
      <x:c r="D35" s="11" t="str">
        <x:v>固定第五年退出；未添加第六年现金流或残值</x:v>
      </x:c>
      <x:c r="E35" s="2"/>
      <x:c r="F35" s="2"/>
    </x:row>
    <x:row r="36" ht="36" customHeight="1">
      <x:c r="A36" s="2" t="n">
        <x:v>3</x:v>
      </x:c>
      <x:c r="B36" s="12" t="n">
        <x:f>$B$28</x:f>
        <x:v>30</x:v>
      </x:c>
      <x:c r="C36" s="12" t="n">
        <x:f>$B$28</x:f>
        <x:v>30</x:v>
      </x:c>
      <x:c r="D36" s="11" t="str">
        <x:v>固定第五年退出；未添加第六年现金流或残值</x:v>
      </x:c>
      <x:c r="E36" s="2"/>
      <x:c r="F36" s="2"/>
    </x:row>
    <x:row r="37" ht="36" customHeight="1">
      <x:c r="A37" s="2" t="n">
        <x:v>4</x:v>
      </x:c>
      <x:c r="B37" s="12" t="n">
        <x:f>$B$28</x:f>
        <x:v>30</x:v>
      </x:c>
      <x:c r="C37" s="12" t="n">
        <x:f>$B$28</x:f>
        <x:v>30</x:v>
      </x:c>
      <x:c r="D37" s="11" t="str">
        <x:v>固定第五年退出；未添加第六年现金流或残值</x:v>
      </x:c>
      <x:c r="E37" s="2"/>
      <x:c r="F37" s="2"/>
    </x:row>
    <x:row r="38" ht="36" customHeight="1">
      <x:c r="A38" s="2" t="n">
        <x:v>5</x:v>
      </x:c>
      <x:c r="B38" s="12" t="n">
        <x:f>$B$28</x:f>
        <x:v>30</x:v>
      </x:c>
      <x:c r="C38" s="12" t="n">
        <x:f>$B$28</x:f>
        <x:v>30</x:v>
      </x:c>
      <x:c r="D38" s="11" t="str">
        <x:v>固定第五年退出；未添加第六年现金流或残值</x:v>
      </x:c>
      <x:c r="E38" s="2"/>
      <x:c r="F38" s="2"/>
    </x:row>
    <x:row r="39" ht="36" customHeight="1">
      <x:c r="A39" s="2"/>
      <x:c r="B39" s="12"/>
      <x:c r="C39" s="12"/>
      <x:c r="D39" s="11"/>
      <x:c r="E39" s="2"/>
      <x:c r="F39" s="2"/>
    </x:row>
    <x:row r="40" ht="36" customHeight="1">
      <x:c r="A40" s="2" t="str">
        <x:v>按期NPV</x:v>
      </x:c>
      <x:c r="B40" s="15" t="n">
        <x:f>B33+NPV(B29,B34:B38)</x:f>
        <x:v>13.723603082253419</x:v>
      </x:c>
      <x:c r="C40" s="12" t="str">
        <x:v>模型金额单位</x:v>
      </x:c>
      <x:c r="D40" s="11" t="str">
        <x:v>收入、成本与退出期均为假设</x:v>
      </x:c>
      <x:c r="E40" s="2"/>
      <x:c r="F40" s="2"/>
    </x:row>
    <x:row r="41" ht="36" customHeight="1">
      <x:c r="A41" s="2" t="str">
        <x:v>晚一年NPV</x:v>
      </x:c>
      <x:c r="B41" s="15" t="n">
        <x:f>C33+NPV(B29,C34:C38)</x:f>
        <x:v>-13.549124190473847</x:v>
      </x:c>
      <x:c r="C41" s="12" t="str">
        <x:v>模型金额单位</x:v>
      </x:c>
      <x:c r="D41" s="11" t="str">
        <x:v>固定退出期限下少一年的经营现金流</x:v>
      </x:c>
      <x:c r="E41" s="2"/>
      <x:c r="F41" s="2"/>
    </x:row>
    <x:row r="42" ht="36" customHeight="1">
      <x:c r="A42" s="2" t="str">
        <x:v>两者差额</x:v>
      </x:c>
      <x:c r="B42" s="15" t="n">
        <x:f>B41-B40</x:f>
        <x:v>-27.272727272727266</x:v>
      </x:c>
      <x:c r="C42" s="12" t="str">
        <x:v>模型金额单位</x:v>
      </x:c>
      <x:c r="D42" s="11" t="str">
        <x:v>不能把此差额自动加到另一个已含延误费用的模型</x:v>
      </x:c>
      <x:c r="E42" s="2"/>
      <x:c r="F42" s="2"/>
    </x:row>
    <x:row r="43" ht="23" customHeight="1">
      <x:c r="A43" s="2"/>
      <x:c r="B43" s="2"/>
      <x:c r="C43" s="2"/>
      <x:c r="D43" s="11"/>
      <x:c r="E43" s="2"/>
      <x:c r="F43" s="2"/>
    </x:row>
    <x:row r="44" ht="23" customHeight="1">
      <x:c r="A44" s="2"/>
      <x:c r="B44" s="2"/>
      <x:c r="C44" s="2"/>
      <x:c r="D44" s="11"/>
      <x:c r="E44" s="2"/>
      <x:c r="F44" s="2"/>
    </x:row>
    <x:row r="45" ht="23" customHeight="1">
      <x:c r="A45" s="2"/>
      <x:c r="B45" s="2"/>
      <x:c r="C45" s="2"/>
      <x:c r="D45" s="11"/>
      <x:c r="E45" s="2"/>
      <x:c r="F45" s="2"/>
    </x:row>
    <x:row r="46" ht="23" customHeight="1">
      <x:c r="A46" s="2"/>
      <x:c r="B46" s="2"/>
      <x:c r="C46" s="2"/>
      <x:c r="D46" s="11"/>
      <x:c r="E46" s="2"/>
      <x:c r="F46" s="2"/>
    </x:row>
    <x:row r="47" ht="23" customHeight="1">
      <x:c r="A47" s="2"/>
      <x:c r="B47" s="2"/>
      <x:c r="C47" s="2"/>
      <x:c r="D47" s="11"/>
      <x:c r="E47" s="2"/>
      <x:c r="F47" s="2"/>
    </x:row>
    <x:row r="48" ht="23" customHeight="1">
      <x:c r="A48" s="2"/>
      <x:c r="B48" s="2"/>
      <x:c r="C48" s="2"/>
      <x:c r="D48" s="11"/>
      <x:c r="E48" s="2"/>
      <x:c r="F48" s="2"/>
    </x:row>
    <x:row r="49" ht="23" customHeight="1">
      <x:c r="A49" s="2"/>
      <x:c r="B49" s="2"/>
      <x:c r="C49" s="2"/>
      <x:c r="D49" s="11"/>
      <x:c r="E49" s="2"/>
      <x:c r="F49" s="2"/>
    </x:row>
    <x:row r="50" ht="23" customHeight="1">
      <x:c r="A50" s="2"/>
      <x:c r="B50" s="2"/>
      <x:c r="C50" s="2"/>
      <x:c r="D50" s="11"/>
      <x:c r="E50" s="2"/>
      <x:c r="F50" s="2"/>
    </x:row>
    <x:row r="51" ht="23" customHeight="1">
      <x:c r="A51" s="2"/>
      <x:c r="B51" s="2"/>
      <x:c r="C51" s="2"/>
      <x:c r="D51" s="11"/>
      <x:c r="E51" s="2"/>
      <x:c r="F51" s="2"/>
    </x:row>
    <x:row r="52" ht="23" customHeight="1">
      <x:c r="A52" s="2"/>
      <x:c r="B52" s="2"/>
      <x:c r="C52" s="2"/>
      <x:c r="D52" s="11"/>
      <x:c r="E52" s="2"/>
      <x:c r="F52" s="2"/>
    </x:row>
    <x:row r="53" ht="23" customHeight="1">
      <x:c r="A53" s="2"/>
      <x:c r="B53" s="2"/>
      <x:c r="C53" s="2"/>
      <x:c r="D53" s="11"/>
      <x:c r="E53" s="2"/>
      <x:c r="F53" s="2"/>
    </x:row>
    <x:row r="54" ht="23" customHeight="1">
      <x:c r="A54" s="2"/>
      <x:c r="B54" s="2"/>
      <x:c r="C54" s="2"/>
      <x:c r="D54" s="11"/>
      <x:c r="E54" s="2"/>
      <x:c r="F54" s="2"/>
    </x:row>
    <x:row r="55" ht="23" customHeight="1">
      <x:c r="A55" s="2"/>
      <x:c r="B55" s="2"/>
      <x:c r="C55" s="2"/>
      <x:c r="D55" s="11"/>
      <x:c r="E55" s="2"/>
      <x:c r="F55" s="2"/>
    </x:row>
    <x:row r="56" ht="23" customHeight="1">
      <x:c r="A56" s="2"/>
      <x:c r="B56" s="2"/>
      <x:c r="C56" s="2"/>
      <x:c r="D56" s="11"/>
      <x:c r="E56" s="2"/>
      <x:c r="F56" s="2"/>
    </x:row>
    <x:row r="57" ht="23" customHeight="1">
      <x:c r="A57" s="2"/>
      <x:c r="B57" s="2"/>
      <x:c r="C57" s="2"/>
      <x:c r="D57" s="11"/>
      <x:c r="E57" s="2"/>
      <x:c r="F57" s="2"/>
    </x:row>
    <x:row r="58" ht="23" customHeight="1">
      <x:c r="A58" s="2"/>
      <x:c r="B58" s="2"/>
      <x:c r="C58" s="2"/>
      <x:c r="D58" s="11"/>
      <x:c r="E58" s="2"/>
      <x:c r="F58" s="2"/>
    </x:row>
    <x:row r="59" ht="23" customHeight="1">
      <x:c r="A59" s="2"/>
      <x:c r="B59" s="2"/>
      <x:c r="C59" s="2"/>
      <x:c r="D59" s="11"/>
      <x:c r="E59" s="2"/>
      <x:c r="F59" s="2"/>
    </x:row>
    <x:row r="60" ht="23" customHeight="1">
      <x:c r="A60" s="2"/>
      <x:c r="B60" s="2"/>
      <x:c r="C60" s="2"/>
      <x:c r="D60" s="11"/>
      <x:c r="E60" s="2"/>
      <x:c r="F60" s="2"/>
    </x:row>
    <x:row r="61" ht="23" customHeight="1">
      <x:c r="A61" s="2"/>
      <x:c r="B61" s="2"/>
      <x:c r="C61" s="2"/>
      <x:c r="D61" s="11"/>
      <x:c r="E61" s="2"/>
      <x:c r="F61" s="2"/>
    </x:row>
    <x:row r="62" ht="23" customHeight="1">
      <x:c r="A62" s="2"/>
      <x:c r="B62" s="2"/>
      <x:c r="C62" s="2"/>
      <x:c r="D62" s="11"/>
      <x:c r="E62" s="2"/>
      <x:c r="F62" s="2"/>
    </x:row>
    <x:row r="63" ht="23" customHeight="1">
      <x:c r="A63" s="2"/>
      <x:c r="B63" s="2"/>
      <x:c r="C63" s="2"/>
      <x:c r="D63" s="11"/>
      <x:c r="E63" s="2"/>
      <x:c r="F63" s="2"/>
    </x:row>
    <x:row r="64" ht="23" customHeight="1">
      <x:c r="A64" s="2"/>
      <x:c r="B64" s="2"/>
      <x:c r="C64" s="2"/>
      <x:c r="D64" s="11"/>
      <x:c r="E64" s="2"/>
      <x:c r="F64" s="2"/>
    </x:row>
    <x:row r="65" ht="23" customHeight="1">
      <x:c r="A65" s="2"/>
      <x:c r="B65" s="2"/>
      <x:c r="C65" s="2"/>
      <x:c r="D65" s="11"/>
      <x:c r="E65" s="2"/>
      <x:c r="F65" s="2"/>
    </x:row>
    <x:row r="66" ht="23" customHeight="1">
      <x:c r="A66" s="2"/>
      <x:c r="B66" s="2"/>
      <x:c r="C66" s="2"/>
      <x:c r="D66" s="11"/>
      <x:c r="E66" s="2"/>
      <x:c r="F66" s="2"/>
    </x:row>
    <x:row r="67" ht="23" customHeight="1">
      <x:c r="A67" s="2"/>
      <x:c r="B67" s="2"/>
      <x:c r="C67" s="2"/>
      <x:c r="D67" s="11"/>
      <x:c r="E67" s="2"/>
      <x:c r="F67" s="2"/>
    </x:row>
    <x:row r="68" ht="23" customHeight="1">
      <x:c r="A68" s="2"/>
      <x:c r="B68" s="2"/>
      <x:c r="C68" s="2"/>
      <x:c r="D68" s="11"/>
      <x:c r="E68" s="2"/>
      <x:c r="F68" s="2"/>
    </x:row>
    <x:row r="69" ht="23" customHeight="1">
      <x:c r="A69" s="2"/>
      <x:c r="B69" s="2"/>
      <x:c r="C69" s="2"/>
      <x:c r="D69" s="11"/>
      <x:c r="E69" s="2"/>
      <x:c r="F69" s="2"/>
    </x:row>
    <x:row r="70" ht="23" customHeight="1">
      <x:c r="A70" s="2"/>
      <x:c r="B70" s="2"/>
      <x:c r="C70" s="2"/>
      <x:c r="D70" s="11"/>
      <x:c r="E70" s="2"/>
      <x:c r="F70" s="2"/>
    </x:row>
    <x:row r="71" ht="23" customHeight="1">
      <x:c r="A71" s="2"/>
      <x:c r="B71" s="2"/>
      <x:c r="C71" s="2"/>
      <x:c r="D71" s="11"/>
      <x:c r="E71" s="2"/>
      <x:c r="F71" s="2"/>
    </x:row>
    <x:row r="72" ht="23" customHeight="1">
      <x:c r="A72" s="2"/>
      <x:c r="B72" s="2"/>
      <x:c r="C72" s="2"/>
      <x:c r="D72" s="11"/>
      <x:c r="E72" s="2"/>
      <x:c r="F72" s="2"/>
    </x:row>
    <x:row r="73" ht="23" customHeight="1">
      <x:c r="A73" s="2"/>
      <x:c r="B73" s="2"/>
      <x:c r="C73" s="2"/>
      <x:c r="D73" s="11"/>
      <x:c r="E73" s="2"/>
      <x:c r="F73" s="2"/>
    </x:row>
    <x:row r="74" ht="23" customHeight="1">
      <x:c r="A74" s="2"/>
      <x:c r="B74" s="2"/>
      <x:c r="C74" s="2"/>
      <x:c r="D74" s="11"/>
      <x:c r="E74" s="2"/>
      <x:c r="F74" s="2"/>
    </x:row>
    <x:row r="75" ht="23" customHeight="1">
      <x:c r="A75" s="2"/>
      <x:c r="B75" s="2"/>
      <x:c r="C75" s="2"/>
      <x:c r="D75" s="11"/>
      <x:c r="E75" s="2"/>
      <x:c r="F75" s="2"/>
    </x:row>
    <x:row r="76" ht="23" customHeight="1">
      <x:c r="A76" s="2"/>
      <x:c r="B76" s="2"/>
      <x:c r="C76" s="2"/>
      <x:c r="D76" s="11"/>
      <x:c r="E76" s="2"/>
      <x:c r="F76" s="2"/>
    </x:row>
    <x:row r="77" ht="23" customHeight="1">
      <x:c r="A77" s="2"/>
      <x:c r="B77" s="2"/>
      <x:c r="C77" s="2"/>
      <x:c r="D77" s="11"/>
      <x:c r="E77" s="2"/>
      <x:c r="F77" s="2"/>
    </x:row>
    <x:row r="78" ht="23" customHeight="1">
      <x:c r="A78" s="2"/>
      <x:c r="B78" s="2"/>
      <x:c r="C78" s="2"/>
      <x:c r="D78" s="11"/>
      <x:c r="E78" s="2"/>
      <x:c r="F78" s="2"/>
    </x:row>
    <x:row r="79" ht="23" customHeight="1">
      <x:c r="A79" s="2"/>
      <x:c r="B79" s="2"/>
      <x:c r="C79" s="2"/>
      <x:c r="D79" s="11"/>
      <x:c r="E79" s="2"/>
      <x:c r="F79" s="2"/>
    </x:row>
    <x:row r="80" ht="23" customHeight="1">
      <x:c r="A80" s="2"/>
      <x:c r="B80" s="2"/>
      <x:c r="C80" s="2"/>
      <x:c r="D80" s="11"/>
      <x:c r="E80" s="2"/>
      <x:c r="F80" s="2"/>
    </x:row>
    <x:row r="81" ht="23" customHeight="1">
      <x:c r="A81" s="2"/>
      <x:c r="B81" s="2"/>
      <x:c r="C81" s="2"/>
      <x:c r="D81" s="11"/>
      <x:c r="E81" s="2"/>
      <x:c r="F81" s="2"/>
    </x:row>
    <x:row r="82" ht="23" customHeight="1">
      <x:c r="A82" s="2"/>
      <x:c r="B82" s="2"/>
      <x:c r="C82" s="2"/>
      <x:c r="D82" s="11"/>
      <x:c r="E82" s="2"/>
      <x:c r="F82" s="2"/>
    </x:row>
    <x:row r="83" ht="23" customHeight="1">
      <x:c r="A83" s="2"/>
      <x:c r="B83" s="2"/>
      <x:c r="C83" s="2"/>
      <x:c r="D83" s="11"/>
      <x:c r="E83" s="2"/>
      <x:c r="F83" s="2"/>
    </x:row>
    <x:row r="84" ht="23" customHeight="1">
      <x:c r="A84" s="2"/>
      <x:c r="B84" s="2"/>
      <x:c r="C84" s="2"/>
      <x:c r="D84" s="11"/>
      <x:c r="E84" s="2"/>
      <x:c r="F84" s="2"/>
    </x:row>
    <x:row r="85" ht="23" customHeight="1">
      <x:c r="A85" s="2"/>
      <x:c r="B85" s="2"/>
      <x:c r="C85" s="2"/>
      <x:c r="D85" s="11"/>
      <x:c r="E85" s="2"/>
      <x:c r="F85" s="2"/>
    </x:row>
    <x:row r="86" ht="23" customHeight="1">
      <x:c r="A86" s="2"/>
      <x:c r="B86" s="2"/>
      <x:c r="C86" s="2"/>
      <x:c r="D86" s="11"/>
      <x:c r="E86" s="2"/>
      <x:c r="F86" s="2"/>
    </x:row>
    <x:row r="87" ht="23" customHeight="1">
      <x:c r="A87" s="2"/>
      <x:c r="B87" s="2"/>
      <x:c r="C87" s="2"/>
      <x:c r="D87" s="11"/>
      <x:c r="E87" s="2"/>
      <x:c r="F87" s="2"/>
    </x:row>
    <x:row r="88" ht="23" customHeight="1">
      <x:c r="A88" s="2"/>
      <x:c r="B88" s="2"/>
      <x:c r="C88" s="2"/>
      <x:c r="D88" s="11"/>
      <x:c r="E88" s="2"/>
      <x:c r="F88" s="2"/>
    </x:row>
    <x:row r="89" ht="23" customHeight="1">
      <x:c r="A89" s="2"/>
      <x:c r="B89" s="2"/>
      <x:c r="C89" s="2"/>
      <x:c r="D89" s="11"/>
      <x:c r="E89" s="2"/>
      <x:c r="F89" s="2"/>
    </x:row>
    <x:row r="90" ht="23" customHeight="1">
      <x:c r="A90" s="2"/>
      <x:c r="B90" s="2"/>
      <x:c r="C90" s="2"/>
      <x:c r="D90" s="11"/>
      <x:c r="E90" s="2"/>
      <x:c r="F90" s="2"/>
    </x:row>
  </x:sheetData>
  <x:mergeCells>
    <x:mergeCell ref="A3:D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852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74" hidden="0" customWidth="1"/>
  </x:cols>
  <x:sheetData>
    <x:row r="1" ht="23" customHeight="1">
      <x:c r="A1" s="2"/>
      <x:c r="B1" s="2"/>
      <x:c r="C1" s="2"/>
      <x:c r="D1" s="11"/>
      <x:c r="E1" s="2"/>
      <x:c r="F1" s="2"/>
    </x:row>
    <x:row r="2" ht="31" customHeight="1">
      <x:c r="A2" s="4" t="str">
        <x:v>SemiAnalysis资料与独立复算</x:v>
      </x:c>
      <x:c r="B2" s="4"/>
      <x:c r="C2" s="4"/>
      <x:c r="D2" s="25"/>
      <x:c r="E2" s="2"/>
      <x:c r="F2" s="2"/>
    </x:row>
    <x:row r="3" ht="38" customHeight="1">
      <x:c r="A3" s="11" t="str">
        <x:v>各段算例独立。报告估计、公司披露与本文假设分别注明，来源入口见图表原始数据。</x:v>
      </x:c>
      <x:c r="B3" s="11"/>
      <x:c r="C3" s="11"/>
      <x:c r="D3" s="11"/>
      <x:c r="E3" s="2"/>
      <x:c r="F3" s="2"/>
    </x:row>
    <x:row r="4" ht="23" customHeight="1">
      <x:c r="A4" s="2"/>
      <x:c r="B4" s="2"/>
      <x:c r="C4" s="2"/>
      <x:c r="D4" s="11"/>
      <x:c r="E4" s="2"/>
      <x:c r="F4" s="2"/>
    </x:row>
    <x:row r="5" ht="29" customHeight="1">
      <x:c r="A5" s="6" t="str">
        <x:v>GPU持有成本</x:v>
      </x:c>
      <x:c r="B5" s="6" t="str">
        <x:v>输入 / 计算值</x:v>
      </x:c>
      <x:c r="C5" s="6" t="str">
        <x:v>单位</x:v>
      </x:c>
      <x:c r="D5" s="27" t="str">
        <x:v>口径</x:v>
      </x:c>
      <x:c r="E5" s="2"/>
      <x:c r="F5" s="2"/>
    </x:row>
    <x:row r="6" ht="39" customHeight="1">
      <x:c r="A6" s="2" t="str">
        <x:v>GB200</x:v>
      </x:c>
      <x:c r="B6" s="9" t="n">
        <x:v>1.84</x:v>
      </x:c>
      <x:c r="C6" s="2" t="str">
        <x:v>USD/GPU小时</x:v>
      </x:c>
      <x:c r="D6" s="11" t="str">
        <x:v>S41，2026-07，PDF第19页模型估计，非租赁报价</x:v>
      </x:c>
      <x:c r="E6" s="2"/>
      <x:c r="F6" s="2"/>
    </x:row>
    <x:row r="7" ht="39" customHeight="1">
      <x:c r="A7" s="2" t="str">
        <x:v>GB300</x:v>
      </x:c>
      <x:c r="B7" s="9" t="n">
        <x:v>2.36</x:v>
      </x:c>
      <x:c r="C7" s="2" t="str">
        <x:v>USD/GPU小时</x:v>
      </x:c>
      <x:c r="D7" s="11" t="str">
        <x:v>S41，同一报告运营商持有成本口径</x:v>
      </x:c>
      <x:c r="E7" s="2"/>
      <x:c r="F7" s="2"/>
    </x:row>
    <x:row r="8" ht="39" customHeight="1">
      <x:c r="A8" s="2" t="str">
        <x:v>Rubin</x:v>
      </x:c>
      <x:c r="B8" s="9" t="n">
        <x:v>3.57</x:v>
      </x:c>
      <x:c r="C8" s="2" t="str">
        <x:v>USD/GPU小时</x:v>
      </x:c>
      <x:c r="D8" s="11" t="str">
        <x:v>S41，同一报告运营商持有成本口径</x:v>
      </x:c>
      <x:c r="E8" s="2"/>
      <x:c r="F8" s="2"/>
    </x:row>
    <x:row r="9" ht="39" customHeight="1">
      <x:c r="A9" s="2"/>
      <x:c r="B9" s="12"/>
      <x:c r="C9" s="2"/>
      <x:c r="D9" s="11"/>
      <x:c r="E9" s="2"/>
      <x:c r="F9" s="2"/>
    </x:row>
    <x:row r="10" ht="39" customHeight="1">
      <x:c r="A10" s="2" t="str">
        <x:v>Rubin对GB200打平门槛</x:v>
      </x:c>
      <x:c r="B10" s="15" t="n">
        <x:f>IF(AND(COUNT(B6,B8)=2,B6&gt;0),B8/B6,NA())</x:f>
        <x:v>1.9402173913043477</x:v>
      </x:c>
      <x:c r="C10" s="2" t="str">
        <x:v>倍</x:v>
      </x:c>
      <x:c r="D10" s="11" t="str">
        <x:v>同一任务约束下每GPU有效吞吐的条件门槛，不是实测性能</x:v>
      </x:c>
      <x:c r="E10" s="2"/>
      <x:c r="F10" s="2"/>
    </x:row>
    <x:row r="11" ht="39" customHeight="1">
      <x:c r="A11" s="2"/>
      <x:c r="B11" s="12"/>
      <x:c r="C11" s="2"/>
      <x:c r="D11" s="11"/>
      <x:c r="E11" s="2"/>
      <x:c r="F11" s="2"/>
    </x:row>
    <x:row r="12" ht="39" customHeight="1">
      <x:c r="A12" s="2"/>
      <x:c r="B12" s="12"/>
      <x:c r="C12" s="2"/>
      <x:c r="D12" s="11"/>
      <x:c r="E12" s="2"/>
      <x:c r="F12" s="2"/>
    </x:row>
    <x:row r="13" ht="29" customHeight="1">
      <x:c r="A13" s="6" t="str">
        <x:v>工业燃机装机情景</x:v>
      </x:c>
      <x:c r="B13" s="29" t="str">
        <x:v>输入 / 计算值</x:v>
      </x:c>
      <x:c r="C13" s="6" t="str">
        <x:v>单位</x:v>
      </x:c>
      <x:c r="D13" s="27" t="str">
        <x:v>口径</x:v>
      </x:c>
      <x:c r="E13" s="2"/>
      <x:c r="F13" s="2"/>
    </x:row>
    <x:row r="14" ht="39" customHeight="1">
      <x:c r="A14" s="2" t="str">
        <x:v>设计IT容量</x:v>
      </x:c>
      <x:c r="B14" s="37" t="n">
        <x:v>1000</x:v>
      </x:c>
      <x:c r="C14" s="2" t="str">
        <x:v>MW IT</x:v>
      </x:c>
      <x:c r="D14" s="11" t="str">
        <x:v>S43，PDF第39页，工业燃机情景</x:v>
      </x:c>
      <x:c r="E14" s="2"/>
      <x:c r="F14" s="2"/>
    </x:row>
    <x:row r="15" ht="39" customHeight="1">
      <x:c r="A15" s="2" t="str">
        <x:v>峰值PUE</x:v>
      </x:c>
      <x:c r="B15" s="9" t="n">
        <x:v>1.4</x:v>
      </x:c>
      <x:c r="C15" s="2" t="str"/>
      <x:c r="D15" s="11" t="str">
        <x:v>用于峰值容量配置，区别于平均PUE</x:v>
      </x:c>
      <x:c r="E15" s="2"/>
      <x:c r="F15" s="2"/>
    </x:row>
    <x:row r="16" ht="39" customHeight="1">
      <x:c r="A16" s="2" t="str">
        <x:v>装机冗余系数</x:v>
      </x:c>
      <x:c r="B16" s="9" t="n">
        <x:v>1.2</x:v>
      </x:c>
      <x:c r="C16" s="2" t="str"/>
      <x:c r="D16" s="11" t="str">
        <x:v>S43；系数本身不证明某一可靠性等级</x:v>
      </x:c>
      <x:c r="E16" s="2"/>
      <x:c r="F16" s="2"/>
    </x:row>
    <x:row r="17" ht="39" customHeight="1">
      <x:c r="A17" s="2" t="str">
        <x:v>平均IT功率负荷</x:v>
      </x:c>
      <x:c r="B17" s="10" t="n">
        <x:v>0.8</x:v>
      </x:c>
      <x:c r="C17" s="2" t="str"/>
      <x:c r="D17" s="11" t="str">
        <x:v>平均IT功率/设计IT容量</x:v>
      </x:c>
      <x:c r="E17" s="2"/>
      <x:c r="F17" s="2"/>
    </x:row>
    <x:row r="18" ht="39" customHeight="1">
      <x:c r="A18" s="2" t="str">
        <x:v>平均PUE</x:v>
      </x:c>
      <x:c r="B18" s="9" t="n">
        <x:v>1.25</x:v>
      </x:c>
      <x:c r="C18" s="2" t="str"/>
      <x:c r="D18" s="11" t="str">
        <x:v>用于全年平均设施负荷</x:v>
      </x:c>
      <x:c r="E18" s="2"/>
      <x:c r="F18" s="2"/>
    </x:row>
    <x:row r="19" ht="39" customHeight="1">
      <x:c r="A19" s="2"/>
      <x:c r="B19" s="12"/>
      <x:c r="C19" s="2"/>
      <x:c r="D19" s="11"/>
      <x:c r="E19" s="2"/>
      <x:c r="F19" s="2"/>
    </x:row>
    <x:row r="20" ht="39" customHeight="1">
      <x:c r="A20" s="2" t="str">
        <x:v>峰值设施负荷</x:v>
      </x:c>
      <x:c r="B20" s="38" t="n">
        <x:f>B14*B15</x:f>
        <x:v>1400</x:v>
      </x:c>
      <x:c r="C20" s="2" t="str">
        <x:v>MW</x:v>
      </x:c>
      <x:c r="D20" s="11" t="str">
        <x:v>IT容量×峰值PUE</x:v>
      </x:c>
      <x:c r="E20" s="2"/>
      <x:c r="F20" s="2"/>
    </x:row>
    <x:row r="21" ht="39" customHeight="1">
      <x:c r="A21" s="2" t="str">
        <x:v>发电装机容量</x:v>
      </x:c>
      <x:c r="B21" s="38" t="n">
        <x:f>B20*B16</x:f>
        <x:v>1680</x:v>
      </x:c>
      <x:c r="C21" s="2" t="str">
        <x:v>MW</x:v>
      </x:c>
      <x:c r="D21" s="11" t="str">
        <x:v>峰值设施负荷×冗余系数</x:v>
      </x:c>
      <x:c r="E21" s="2"/>
      <x:c r="F21" s="2"/>
    </x:row>
    <x:row r="22" ht="39" customHeight="1">
      <x:c r="A22" s="2" t="str">
        <x:v>平均设施负荷</x:v>
      </x:c>
      <x:c r="B22" s="38" t="n">
        <x:f>B14*B17*B18</x:f>
        <x:v>1000</x:v>
      </x:c>
      <x:c r="C22" s="2" t="str">
        <x:v>MW</x:v>
      </x:c>
      <x:c r="D22" s="11" t="str">
        <x:v>设计IT容量×平均IT功率负荷×平均PUE</x:v>
      </x:c>
      <x:c r="E22" s="2"/>
      <x:c r="F22" s="2"/>
    </x:row>
    <x:row r="23" ht="39" customHeight="1">
      <x:c r="A23" s="2" t="str">
        <x:v>平均负荷 / 发电装机</x:v>
      </x:c>
      <x:c r="B23" s="16" t="n">
        <x:f>IF(AND(COUNT(B14:B18)=5,B21&gt;0),B22/B21,NA())</x:f>
        <x:v>0.5952380952380952</x:v>
      </x:c>
      <x:c r="C23" s="2" t="str"/>
      <x:c r="D23" s="11" t="str">
        <x:v>不是可用率或服务保证；未建故障概率模型</x:v>
      </x:c>
      <x:c r="E23" s="2"/>
      <x:c r="F23" s="2"/>
    </x:row>
    <x:row r="24" ht="39" customHeight="1">
      <x:c r="A24" s="2"/>
      <x:c r="B24" s="12"/>
      <x:c r="C24" s="2"/>
      <x:c r="D24" s="11"/>
      <x:c r="E24" s="2"/>
      <x:c r="F24" s="2"/>
    </x:row>
    <x:row r="25" ht="39" customHeight="1">
      <x:c r="A25" s="2"/>
      <x:c r="B25" s="12"/>
      <x:c r="C25" s="2"/>
      <x:c r="D25" s="11"/>
      <x:c r="E25" s="2"/>
      <x:c r="F25" s="2"/>
    </x:row>
    <x:row r="26" ht="29" customHeight="1">
      <x:c r="A26" s="6" t="str">
        <x:v>作业故障独立算例</x:v>
      </x:c>
      <x:c r="B26" s="29" t="str">
        <x:v>输入 / 计算值</x:v>
      </x:c>
      <x:c r="C26" s="6" t="str">
        <x:v>单位</x:v>
      </x:c>
      <x:c r="D26" s="27" t="str">
        <x:v>口径</x:v>
      </x:c>
      <x:c r="E26" s="2"/>
      <x:c r="F26" s="2"/>
    </x:row>
    <x:row r="27" ht="39" customHeight="1">
      <x:c r="A27" s="2" t="str">
        <x:v>检查点间隔</x:v>
      </x:c>
      <x:c r="B27" s="37" t="n">
        <x:v>60</x:v>
      </x:c>
      <x:c r="C27" s="2" t="str">
        <x:v>分钟</x:v>
      </x:c>
      <x:c r="D27" s="11" t="str">
        <x:v>本文假设；机制参考S44，非供应商实测</x:v>
      </x:c>
      <x:c r="E27" s="2"/>
      <x:c r="F27" s="2"/>
    </x:row>
    <x:row r="28" ht="39" customHeight="1">
      <x:c r="A28" s="2" t="str">
        <x:v>故障发现时间</x:v>
      </x:c>
      <x:c r="B28" s="37" t="n">
        <x:v>15</x:v>
      </x:c>
      <x:c r="C28" s="2" t="str">
        <x:v>分钟</x:v>
      </x:c>
      <x:c r="D28" s="11" t="str">
        <x:v>本文假设；期间作业不再完成有效工作</x:v>
      </x:c>
      <x:c r="E28" s="2"/>
      <x:c r="F28" s="2"/>
    </x:row>
    <x:row r="29" ht="39" customHeight="1">
      <x:c r="A29" s="2" t="str">
        <x:v>作业初始化时间</x:v>
      </x:c>
      <x:c r="B29" s="37" t="n">
        <x:v>10</x:v>
      </x:c>
      <x:c r="C29" s="2" t="str">
        <x:v>分钟</x:v>
      </x:c>
      <x:c r="D29" s="11" t="str">
        <x:v>本文假设；未含维修时长</x:v>
      </x:c>
      <x:c r="E29" s="2"/>
      <x:c r="F29" s="2"/>
    </x:row>
    <x:row r="30" ht="39" customHeight="1">
      <x:c r="A30" s="2" t="str">
        <x:v>GPU资源成本</x:v>
      </x:c>
      <x:c r="B30" s="9" t="n">
        <x:v>4</x:v>
      </x:c>
      <x:c r="C30" s="2" t="str">
        <x:v>USD/GPU小时</x:v>
      </x:c>
      <x:c r="D30" s="11" t="str">
        <x:v>本文假设，不是市场报价</x:v>
      </x:c>
      <x:c r="E30" s="2"/>
      <x:c r="F30" s="2"/>
    </x:row>
    <x:row r="31" ht="39" customHeight="1">
      <x:c r="A31" s="2" t="str">
        <x:v>小作业设备数</x:v>
      </x:c>
      <x:c r="B31" s="37" t="n">
        <x:v>64</x:v>
      </x:c>
      <x:c r="C31" s="2" t="str">
        <x:v>GPU</x:v>
      </x:c>
      <x:c r="D31" s="11" t="str">
        <x:v>假设整项同步作业恢复</x:v>
      </x:c>
      <x:c r="E31" s="2"/>
      <x:c r="F31" s="2"/>
    </x:row>
    <x:row r="32" ht="39" customHeight="1">
      <x:c r="A32" s="2" t="str">
        <x:v>大作业设备数</x:v>
      </x:c>
      <x:c r="B32" s="37" t="n">
        <x:v>4096</x:v>
      </x:c>
      <x:c r="C32" s="2" t="str">
        <x:v>GPU</x:v>
      </x:c>
      <x:c r="D32" s="11" t="str">
        <x:v>只改变作业规模</x:v>
      </x:c>
      <x:c r="E32" s="2"/>
      <x:c r="F32" s="2"/>
    </x:row>
    <x:row r="33" ht="39" customHeight="1">
      <x:c r="A33" s="2"/>
      <x:c r="B33" s="12"/>
      <x:c r="C33" s="2"/>
      <x:c r="D33" s="11"/>
      <x:c r="E33" s="2"/>
      <x:c r="F33" s="2"/>
    </x:row>
    <x:row r="34" ht="39" customHeight="1">
      <x:c r="A34" s="2" t="str">
        <x:v>平均重算时间</x:v>
      </x:c>
      <x:c r="B34" s="38" t="n">
        <x:f>B27/2</x:f>
        <x:v>30</x:v>
      </x:c>
      <x:c r="C34" s="2" t="str">
        <x:v>分钟</x:v>
      </x:c>
      <x:c r="D34" s="11" t="str">
        <x:v>假设故障时点在检查点间隔内均匀分布</x:v>
      </x:c>
      <x:c r="E34" s="2"/>
      <x:c r="F34" s="2"/>
    </x:row>
    <x:row r="35" ht="39" customHeight="1">
      <x:c r="A35" s="2" t="str">
        <x:v>一次事件损失有效时间</x:v>
      </x:c>
      <x:c r="B35" s="38" t="n">
        <x:f>SUM(B28:B29,B34)</x:f>
        <x:v>55</x:v>
      </x:c>
      <x:c r="C35" s="2" t="str">
        <x:v>分钟</x:v>
      </x:c>
      <x:c r="D35" s="11" t="str">
        <x:v>重算、发现、初始化；三段不重叠</x:v>
      </x:c>
      <x:c r="E35" s="2"/>
      <x:c r="F35" s="2"/>
    </x:row>
    <x:row r="36" ht="39" customHeight="1">
      <x:c r="A36" s="2" t="str">
        <x:v>小作业损失设备时间</x:v>
      </x:c>
      <x:c r="B36" s="15" t="n">
        <x:f>B31*B35/60</x:f>
        <x:v>58.666666666666664</x:v>
      </x:c>
      <x:c r="C36" s="2" t="str">
        <x:v>GPU小时</x:v>
      </x:c>
      <x:c r="D36" s="11" t="str">
        <x:v>时间单位由分钟转为小时</x:v>
      </x:c>
      <x:c r="E36" s="2"/>
      <x:c r="F36" s="2"/>
    </x:row>
    <x:row r="37" ht="39" customHeight="1">
      <x:c r="A37" s="2" t="str">
        <x:v>大作业损失设备时间</x:v>
      </x:c>
      <x:c r="B37" s="15" t="n">
        <x:f>B32*B35/60</x:f>
        <x:v>3754.6666666666665</x:v>
      </x:c>
      <x:c r="C37" s="2" t="str">
        <x:v>GPU小时</x:v>
      </x:c>
      <x:c r="D37" s="11" t="str">
        <x:v>同一次事件，不表示事件发生频率相同</x:v>
      </x:c>
      <x:c r="E37" s="2"/>
      <x:c r="F37" s="2"/>
    </x:row>
    <x:row r="38" ht="39" customHeight="1">
      <x:c r="A38" s="2" t="str">
        <x:v>小作业资源损失成本</x:v>
      </x:c>
      <x:c r="B38" s="15" t="n">
        <x:f>B36*B30</x:f>
        <x:v>234.66666666666666</x:v>
      </x:c>
      <x:c r="C38" s="2" t="str">
        <x:v>USD/次</x:v>
      </x:c>
      <x:c r="D38" s="11" t="str">
        <x:v>不是额外收到的账单，不重复加入已扣损失的TCO</x:v>
      </x:c>
      <x:c r="E38" s="2"/>
      <x:c r="F38" s="2"/>
    </x:row>
    <x:row r="39" ht="39" customHeight="1">
      <x:c r="A39" s="2" t="str">
        <x:v>大作业资源损失成本</x:v>
      </x:c>
      <x:c r="B39" s="15" t="n">
        <x:f>B37*B30</x:f>
        <x:v>15018.666666666666</x:v>
      </x:c>
      <x:c r="C39" s="2" t="str">
        <x:v>USD/次</x:v>
      </x:c>
      <x:c r="D39" s="11" t="str">
        <x:v>未计维修、备件及检查点保存开销</x:v>
      </x:c>
      <x:c r="E39" s="2"/>
      <x:c r="F39" s="2"/>
    </x:row>
    <x:row r="40" ht="39" customHeight="1">
      <x:c r="A40" s="2"/>
      <x:c r="B40" s="12"/>
      <x:c r="C40" s="2"/>
      <x:c r="D40" s="11"/>
      <x:c r="E40" s="2"/>
      <x:c r="F40" s="2"/>
    </x:row>
    <x:row r="41" ht="39" customHeight="1">
      <x:c r="A41" s="2"/>
      <x:c r="B41" s="12"/>
      <x:c r="C41" s="2"/>
      <x:c r="D41" s="11"/>
      <x:c r="E41" s="2"/>
      <x:c r="F41" s="2"/>
    </x:row>
    <x:row r="42" ht="29" customHeight="1">
      <x:c r="A42" s="6" t="str">
        <x:v>承购保障示例</x:v>
      </x:c>
      <x:c r="B42" s="29" t="str">
        <x:v>输入 / 计算值</x:v>
      </x:c>
      <x:c r="C42" s="6" t="str">
        <x:v>单位</x:v>
      </x:c>
      <x:c r="D42" s="27" t="str">
        <x:v>口径</x:v>
      </x:c>
      <x:c r="E42" s="2"/>
      <x:c r="F42" s="2"/>
    </x:row>
    <x:row r="43" ht="39" customHeight="1">
      <x:c r="A43" s="2" t="str">
        <x:v>某年客户租价</x:v>
      </x:c>
      <x:c r="B43" s="9" t="n">
        <x:v>6.75</x:v>
      </x:c>
      <x:c r="C43" s="2" t="str">
        <x:v>USD/GPU小时</x:v>
      </x:c>
      <x:c r="D43" s="11" t="str">
        <x:v>S45，PDF第7页明确标为研究情景</x:v>
      </x:c>
      <x:c r="E43" s="2"/>
      <x:c r="F43" s="2"/>
    </x:row>
    <x:row r="44" ht="39" customHeight="1">
      <x:c r="A44" s="2" t="str">
        <x:v>同年保障底价</x:v>
      </x:c>
      <x:c r="B44" s="9" t="n">
        <x:v>3.68</x:v>
      </x:c>
      <x:c r="C44" s="2" t="str">
        <x:v>USD/GPU小时</x:v>
      </x:c>
      <x:c r="D44" s="11" t="str">
        <x:v>非统一合同，也非市场现价</x:v>
      </x:c>
      <x:c r="E44" s="2"/>
      <x:c r="F44" s="2"/>
    </x:row>
    <x:row r="45" ht="39" customHeight="1">
      <x:c r="A45" s="2" t="str">
        <x:v>超出底价部分分成</x:v>
      </x:c>
      <x:c r="B45" s="10" t="n">
        <x:v>0.4</x:v>
      </x:c>
      <x:c r="C45" s="2" t="str"/>
      <x:c r="D45" s="11" t="str">
        <x:v>示例分给保障提供方的比例</x:v>
      </x:c>
      <x:c r="E45" s="2"/>
      <x:c r="F45" s="2"/>
    </x:row>
    <x:row r="46" ht="39" customHeight="1">
      <x:c r="A46" s="2"/>
      <x:c r="B46" s="12"/>
      <x:c r="C46" s="2"/>
      <x:c r="D46" s="11"/>
      <x:c r="E46" s="2"/>
      <x:c r="F46" s="2"/>
    </x:row>
    <x:row r="47" ht="39" customHeight="1">
      <x:c r="A47" s="2" t="str">
        <x:v>超出底价的收入</x:v>
      </x:c>
      <x:c r="B47" s="15" t="n">
        <x:f>MAX(B43-B44,0)</x:f>
        <x:v>3.07</x:v>
      </x:c>
      <x:c r="C47" s="2" t="str">
        <x:v>USD/GPU小时</x:v>
      </x:c>
      <x:c r="D47" s="11" t="str">
        <x:v>只示意超额收入分配，不含低价触发支付模型</x:v>
      </x:c>
      <x:c r="E47" s="2"/>
      <x:c r="F47" s="2"/>
    </x:row>
    <x:row r="48" ht="39" customHeight="1">
      <x:c r="A48" s="2" t="str">
        <x:v>保障提供方收入</x:v>
      </x:c>
      <x:c r="B48" s="15" t="n">
        <x:f>B47*B45</x:f>
        <x:v>1.228</x:v>
      </x:c>
      <x:c r="C48" s="2" t="str">
        <x:v>USD/GPU小时</x:v>
      </x:c>
      <x:c r="D48" s="11" t="str">
        <x:v>超额部分×分成比例</x:v>
      </x:c>
      <x:c r="E48" s="2"/>
      <x:c r="F48" s="2"/>
    </x:row>
    <x:row r="49" ht="39" customHeight="1">
      <x:c r="A49" s="2" t="str">
        <x:v>运营商保留客户收入</x:v>
      </x:c>
      <x:c r="B49" s="15" t="n">
        <x:f>B43-B48</x:f>
        <x:v>5.522</x:v>
      </x:c>
      <x:c r="C49" s="2" t="str">
        <x:v>USD/GPU小时</x:v>
      </x:c>
      <x:c r="D49" s="11" t="str">
        <x:v>未扣运营和融资成本；不含可能的保障补款</x:v>
      </x:c>
      <x:c r="E49" s="2"/>
      <x:c r="F49" s="2"/>
    </x:row>
    <x:row r="50" ht="39" customHeight="1">
      <x:c r="A50" s="2"/>
      <x:c r="B50" s="12"/>
      <x:c r="C50" s="2"/>
      <x:c r="D50" s="11"/>
      <x:c r="E50" s="2"/>
      <x:c r="F50" s="2"/>
    </x:row>
    <x:row r="51" ht="39" customHeight="1">
      <x:c r="A51" s="2"/>
      <x:c r="B51" s="12"/>
      <x:c r="C51" s="2"/>
      <x:c r="D51" s="11"/>
      <x:c r="E51" s="2"/>
      <x:c r="F51" s="2"/>
    </x:row>
    <x:row r="52" ht="29" customHeight="1">
      <x:c r="A52" s="6" t="str">
        <x:v>Meta Hyperion披露</x:v>
      </x:c>
      <x:c r="B52" s="29" t="str">
        <x:v>数值</x:v>
      </x:c>
      <x:c r="C52" s="6" t="str">
        <x:v>单位</x:v>
      </x:c>
      <x:c r="D52" s="27" t="str">
        <x:v>口径</x:v>
      </x:c>
      <x:c r="E52" s="2"/>
      <x:c r="F52" s="2"/>
    </x:row>
    <x:row r="53" ht="39" customHeight="1">
      <x:c r="A53" s="2" t="str">
        <x:v>预计设施开发成本</x:v>
      </x:c>
      <x:c r="B53" s="37" t="n">
        <x:v>27000000000</x:v>
      </x:c>
      <x:c r="C53" s="2" t="str">
        <x:v>USD</x:v>
      </x:c>
      <x:c r="D53" s="11" t="str">
        <x:v>S46，2025-10-21；建筑、电力、冷却和连接，非全部IT</x:v>
      </x:c>
      <x:c r="E53" s="2"/>
      <x:c r="F53" s="2"/>
    </x:row>
    <x:row r="54" ht="39" customHeight="1">
      <x:c r="A54" s="2" t="str">
        <x:v>Meta权益比例</x:v>
      </x:c>
      <x:c r="B54" s="10" t="n">
        <x:v>0.2</x:v>
      </x:c>
      <x:c r="C54" s="2" t="str"/>
      <x:c r="D54" s="11" t="str">
        <x:v>公司公告</x:v>
      </x:c>
      <x:c r="E54" s="2"/>
      <x:c r="F54" s="2"/>
    </x:row>
    <x:row r="55" ht="39" customHeight="1">
      <x:c r="A55" s="2" t="str">
        <x:v>Blue Owl基金权益比例</x:v>
      </x:c>
      <x:c r="B55" s="10" t="n">
        <x:v>0.8</x:v>
      </x:c>
      <x:c r="C55" s="2" t="str"/>
      <x:c r="D55" s="11" t="str">
        <x:v>权益及按比例承担开发成本；不等于已到账现金</x:v>
      </x:c>
      <x:c r="E55" s="2"/>
      <x:c r="F55" s="2"/>
    </x:row>
    <x:row r="56" ht="39" customHeight="1">
      <x:c r="A56" s="2" t="str">
        <x:v>初始租约期限</x:v>
      </x:c>
      <x:c r="B56" s="37" t="n">
        <x:v>4</x:v>
      </x:c>
      <x:c r="C56" s="2" t="str">
        <x:v>年</x:v>
      </x:c>
      <x:c r="D56" s="11" t="str">
        <x:v>附有延长选项</x:v>
      </x:c>
      <x:c r="E56" s="2"/>
      <x:c r="F56" s="2"/>
    </x:row>
    <x:row r="57" ht="39" customHeight="1">
      <x:c r="A57" s="2" t="str">
        <x:v>残值保障覆盖前期</x:v>
      </x:c>
      <x:c r="B57" s="37" t="n">
        <x:v>16</x:v>
      </x:c>
      <x:c r="C57" s="2" t="str">
        <x:v>年</x:v>
      </x:c>
      <x:c r="D57" s="11" t="str">
        <x:v>附条件并设上限，不表示保证足额支付16年租金</x:v>
      </x:c>
      <x:c r="E57" s="2"/>
      <x:c r="F57" s="2"/>
    </x:row>
    <x:row r="58" ht="39" customHeight="1">
      <x:c r="A58" s="2"/>
      <x:c r="B58" s="12"/>
      <x:c r="C58" s="2"/>
      <x:c r="D58" s="11"/>
      <x:c r="E58" s="2"/>
      <x:c r="F58" s="2"/>
    </x:row>
    <x:row r="59" ht="39" customHeight="1">
      <x:c r="A59" s="2"/>
      <x:c r="B59" s="12"/>
      <x:c r="C59" s="2"/>
      <x:c r="D59" s="11"/>
      <x:c r="E59" s="2"/>
      <x:c r="F59" s="2"/>
    </x:row>
    <x:row r="60" ht="29" customHeight="1">
      <x:c r="A60" s="6" t="str">
        <x:v>PJM反事实测算</x:v>
      </x:c>
      <x:c r="B60" s="29" t="str">
        <x:v>数值</x:v>
      </x:c>
      <x:c r="C60" s="6" t="str">
        <x:v>单位</x:v>
      </x:c>
      <x:c r="D60" s="27" t="str">
        <x:v>范围 / 性质</x:v>
      </x:c>
      <x:c r="E60" s="2"/>
      <x:c r="F60" s="2"/>
    </x:row>
    <x:row r="61" ht="39" customHeight="1">
      <x:c r="A61" s="2" t="str">
        <x:v>SA中央情景</x:v>
      </x:c>
      <x:c r="B61" s="37" t="n">
        <x:v>11570000000</x:v>
      </x:c>
      <x:c r="C61" s="2" t="str">
        <x:v>USD</x:v>
      </x:c>
      <x:c r="D61" s="11" t="str">
        <x:v>S47，2025/26与2026/27合计；研究主张，非确认损失</x:v>
      </x:c>
      <x:c r="E61" s="2"/>
      <x:c r="F61" s="2"/>
    </x:row>
    <x:row r="62" ht="39" customHeight="1">
      <x:c r="A62" s="2" t="str">
        <x:v>SA敏感性下端</x:v>
      </x:c>
      <x:c r="B62" s="37" t="n">
        <x:v>8000000000</x:v>
      </x:c>
      <x:c r="C62" s="2" t="str">
        <x:v>USD</x:v>
      </x:c>
      <x:c r="D62" s="11" t="str">
        <x:v>同上；不是统计置信区间</x:v>
      </x:c>
      <x:c r="E62" s="2"/>
      <x:c r="F62" s="2"/>
    </x:row>
    <x:row r="63" ht="39" customHeight="1">
      <x:c r="A63" s="2" t="str">
        <x:v>SA敏感性上端</x:v>
      </x:c>
      <x:c r="B63" s="37" t="n">
        <x:v>14500000000</x:v>
      </x:c>
      <x:c r="C63" s="2" t="str">
        <x:v>USD</x:v>
      </x:c>
      <x:c r="D63" s="11" t="str">
        <x:v>同上；底层系统模型本次未独立重跑</x:v>
      </x:c>
      <x:c r="E63" s="2"/>
      <x:c r="F63" s="2"/>
    </x:row>
    <x:row r="64" ht="39" customHeight="1">
      <x:c r="A64" s="2" t="str">
        <x:v>IMM敏感性下端</x:v>
      </x:c>
      <x:c r="B64" s="37" t="n">
        <x:v>2721494123</x:v>
      </x:c>
      <x:c r="C64" s="2" t="str">
        <x:v>USD</x:v>
      </x:c>
      <x:c r="D64" s="11" t="str">
        <x:v>S48，仅2025/26；假设与SA不同</x:v>
      </x:c>
      <x:c r="E64" s="2"/>
      <x:c r="F64" s="2"/>
    </x:row>
    <x:row r="65" ht="39" customHeight="1">
      <x:c r="A65" s="2" t="str">
        <x:v>IMM敏感性上端</x:v>
      </x:c>
      <x:c r="B65" s="37" t="n">
        <x:v>7953702391</x:v>
      </x:c>
      <x:c r="C65" s="2" t="str">
        <x:v>USD</x:v>
      </x:c>
      <x:c r="D65" s="11" t="str">
        <x:v>两套结果不能相加，也非同一估计的独立复核</x:v>
      </x:c>
      <x:c r="E65" s="2"/>
      <x:c r="F65" s="2"/>
    </x:row>
    <x:row r="66" ht="23" customHeight="1">
      <x:c r="A66" s="2"/>
      <x:c r="B66" s="2"/>
      <x:c r="C66" s="2"/>
      <x:c r="D66" s="11"/>
      <x:c r="E66" s="2"/>
      <x:c r="F66" s="2"/>
    </x:row>
    <x:row r="67" ht="23" customHeight="1">
      <x:c r="A67" s="2"/>
      <x:c r="B67" s="2"/>
      <x:c r="C67" s="2"/>
      <x:c r="D67" s="11"/>
      <x:c r="E67" s="2"/>
      <x:c r="F67" s="2"/>
    </x:row>
    <x:row r="68" ht="23" customHeight="1">
      <x:c r="A68" s="2"/>
      <x:c r="B68" s="2"/>
      <x:c r="C68" s="2"/>
      <x:c r="D68" s="11"/>
      <x:c r="E68" s="2"/>
      <x:c r="F68" s="2"/>
    </x:row>
    <x:row r="69" ht="23" customHeight="1">
      <x:c r="A69" s="2"/>
      <x:c r="B69" s="2"/>
      <x:c r="C69" s="2"/>
      <x:c r="D69" s="11"/>
      <x:c r="E69" s="2"/>
      <x:c r="F69" s="2"/>
    </x:row>
    <x:row r="70" ht="23" customHeight="1">
      <x:c r="A70" s="2"/>
      <x:c r="B70" s="2"/>
      <x:c r="C70" s="2"/>
      <x:c r="D70" s="11"/>
      <x:c r="E70" s="2"/>
      <x:c r="F70" s="2"/>
    </x:row>
    <x:row r="71" ht="23" customHeight="1">
      <x:c r="A71" s="2"/>
      <x:c r="B71" s="2"/>
      <x:c r="C71" s="2"/>
      <x:c r="D71" s="11"/>
      <x:c r="E71" s="2"/>
      <x:c r="F71" s="2"/>
    </x:row>
    <x:row r="72" ht="23" customHeight="1">
      <x:c r="A72" s="2"/>
      <x:c r="B72" s="2"/>
      <x:c r="C72" s="2"/>
      <x:c r="D72" s="11"/>
      <x:c r="E72" s="2"/>
      <x:c r="F72" s="2"/>
    </x:row>
    <x:row r="73" ht="23" customHeight="1">
      <x:c r="A73" s="2"/>
      <x:c r="B73" s="2"/>
      <x:c r="C73" s="2"/>
      <x:c r="D73" s="11"/>
      <x:c r="E73" s="2"/>
      <x:c r="F73" s="2"/>
    </x:row>
    <x:row r="74" ht="23" customHeight="1">
      <x:c r="A74" s="2"/>
      <x:c r="B74" s="2"/>
      <x:c r="C74" s="2"/>
      <x:c r="D74" s="11"/>
      <x:c r="E74" s="2"/>
      <x:c r="F74" s="2"/>
    </x:row>
    <x:row r="75" ht="23" customHeight="1">
      <x:c r="A75" s="2"/>
      <x:c r="B75" s="2"/>
      <x:c r="C75" s="2"/>
      <x:c r="D75" s="11"/>
      <x:c r="E75" s="2"/>
      <x:c r="F75" s="2"/>
    </x:row>
    <x:row r="76" ht="23" customHeight="1">
      <x:c r="A76" s="2"/>
      <x:c r="B76" s="2"/>
      <x:c r="C76" s="2"/>
      <x:c r="D76" s="11"/>
      <x:c r="E76" s="2"/>
      <x:c r="F76" s="2"/>
    </x:row>
    <x:row r="77" ht="23" customHeight="1">
      <x:c r="A77" s="2"/>
      <x:c r="B77" s="2"/>
      <x:c r="C77" s="2"/>
      <x:c r="D77" s="11"/>
      <x:c r="E77" s="2"/>
      <x:c r="F77" s="2"/>
    </x:row>
    <x:row r="78" ht="23" customHeight="1">
      <x:c r="A78" s="2"/>
      <x:c r="B78" s="2"/>
      <x:c r="C78" s="2"/>
      <x:c r="D78" s="11"/>
      <x:c r="E78" s="2"/>
      <x:c r="F78" s="2"/>
    </x:row>
    <x:row r="79" ht="23" customHeight="1">
      <x:c r="A79" s="2"/>
      <x:c r="B79" s="2"/>
      <x:c r="C79" s="2"/>
      <x:c r="D79" s="11"/>
      <x:c r="E79" s="2"/>
      <x:c r="F79" s="2"/>
    </x:row>
    <x:row r="80" ht="23" customHeight="1">
      <x:c r="A80" s="2"/>
      <x:c r="B80" s="2"/>
      <x:c r="C80" s="2"/>
      <x:c r="D80" s="11"/>
      <x:c r="E80" s="2"/>
      <x:c r="F80" s="2"/>
    </x:row>
    <x:row r="81" ht="23" customHeight="1">
      <x:c r="A81" s="2"/>
      <x:c r="B81" s="2"/>
      <x:c r="C81" s="2"/>
      <x:c r="D81" s="11"/>
      <x:c r="E81" s="2"/>
      <x:c r="F81" s="2"/>
    </x:row>
    <x:row r="82" ht="23" customHeight="1">
      <x:c r="A82" s="2"/>
      <x:c r="B82" s="2"/>
      <x:c r="C82" s="2"/>
      <x:c r="D82" s="11"/>
      <x:c r="E82" s="2"/>
      <x:c r="F82" s="2"/>
    </x:row>
    <x:row r="83" ht="23" customHeight="1">
      <x:c r="A83" s="2"/>
      <x:c r="B83" s="2"/>
      <x:c r="C83" s="2"/>
      <x:c r="D83" s="11"/>
      <x:c r="E83" s="2"/>
      <x:c r="F83" s="2"/>
    </x:row>
    <x:row r="84" ht="23" customHeight="1">
      <x:c r="A84" s="2"/>
      <x:c r="B84" s="2"/>
      <x:c r="C84" s="2"/>
      <x:c r="D84" s="11"/>
      <x:c r="E84" s="2"/>
      <x:c r="F84" s="2"/>
    </x:row>
    <x:row r="85" ht="23" customHeight="1">
      <x:c r="A85" s="2"/>
      <x:c r="B85" s="2"/>
      <x:c r="C85" s="2"/>
      <x:c r="D85" s="11"/>
      <x:c r="E85" s="2"/>
      <x:c r="F85" s="2"/>
    </x:row>
    <x:row r="86" ht="23" customHeight="1">
      <x:c r="A86" s="2"/>
      <x:c r="B86" s="2"/>
      <x:c r="C86" s="2"/>
      <x:c r="D86" s="11"/>
      <x:c r="E86" s="2"/>
      <x:c r="F86" s="2"/>
    </x:row>
    <x:row r="87" ht="23" customHeight="1">
      <x:c r="A87" s="2"/>
      <x:c r="B87" s="2"/>
      <x:c r="C87" s="2"/>
      <x:c r="D87" s="11"/>
      <x:c r="E87" s="2"/>
      <x:c r="F87" s="2"/>
    </x:row>
    <x:row r="88" ht="23" customHeight="1">
      <x:c r="A88" s="2"/>
      <x:c r="B88" s="2"/>
      <x:c r="C88" s="2"/>
      <x:c r="D88" s="11"/>
      <x:c r="E88" s="2"/>
      <x:c r="F88" s="2"/>
    </x:row>
    <x:row r="89" ht="23" customHeight="1">
      <x:c r="A89" s="2"/>
      <x:c r="B89" s="2"/>
      <x:c r="C89" s="2"/>
      <x:c r="D89" s="11"/>
      <x:c r="E89" s="2"/>
      <x:c r="F89" s="2"/>
    </x:row>
    <x:row r="90" ht="23" customHeight="1">
      <x:c r="A90" s="2"/>
      <x:c r="B90" s="2"/>
      <x:c r="C90" s="2"/>
      <x:c r="D90" s="11"/>
      <x:c r="E90" s="2"/>
      <x:c r="F90" s="2"/>
    </x:row>
    <x:row r="91" ht="23" customHeight="1">
      <x:c r="A91" s="2"/>
      <x:c r="B91" s="2"/>
      <x:c r="C91" s="2"/>
      <x:c r="D91" s="11"/>
      <x:c r="E91" s="2"/>
      <x:c r="F91" s="2"/>
    </x:row>
    <x:row r="92" ht="23" customHeight="1">
      <x:c r="A92" s="2"/>
      <x:c r="B92" s="2"/>
      <x:c r="C92" s="2"/>
      <x:c r="D92" s="11"/>
      <x:c r="E92" s="2"/>
      <x:c r="F92" s="2"/>
    </x:row>
    <x:row r="93" ht="23" customHeight="1">
      <x:c r="A93" s="2"/>
      <x:c r="B93" s="2"/>
      <x:c r="C93" s="2"/>
      <x:c r="D93" s="11"/>
      <x:c r="E93" s="2"/>
      <x:c r="F93" s="2"/>
    </x:row>
    <x:row r="94" ht="23" customHeight="1">
      <x:c r="A94" s="2"/>
      <x:c r="B94" s="2"/>
      <x:c r="C94" s="2"/>
      <x:c r="D94" s="11"/>
      <x:c r="E94" s="2"/>
      <x:c r="F94" s="2"/>
    </x:row>
    <x:row r="95" ht="23" customHeight="1">
      <x:c r="A95" s="2"/>
      <x:c r="B95" s="2"/>
      <x:c r="C95" s="2"/>
      <x:c r="D95" s="11"/>
      <x:c r="E95" s="2"/>
      <x:c r="F95" s="2"/>
    </x:row>
  </x:sheetData>
  <x:mergeCells>
    <x:mergeCell ref="A3:D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852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72" hidden="0" customWidth="1"/>
  </x:cols>
  <x:sheetData>
    <x:row r="1" ht="23" customHeight="1">
      <x:c r="A1" s="2"/>
      <x:c r="B1" s="2"/>
      <x:c r="C1" s="2"/>
      <x:c r="D1" s="11"/>
      <x:c r="E1" s="2"/>
      <x:c r="F1" s="2"/>
    </x:row>
    <x:row r="2" ht="31" customHeight="1">
      <x:c r="A2" s="4" t="str">
        <x:v>Bernstein原始报告与复算</x:v>
      </x:c>
      <x:c r="B2" s="4"/>
      <x:c r="C2" s="4"/>
      <x:c r="D2" s="25"/>
      <x:c r="E2" s="2"/>
      <x:c r="F2" s="2"/>
    </x:row>
    <x:row r="3" ht="37" customHeight="1">
      <x:c r="A3" s="11" t="str">
        <x:v>S23：2026-06-08原始PDF。金额为报告研究估计，含未来价格假设；原作者Excel底稿未取得。</x:v>
      </x:c>
      <x:c r="B3" s="11"/>
      <x:c r="C3" s="11"/>
      <x:c r="D3" s="11"/>
      <x:c r="E3" s="2"/>
      <x:c r="F3" s="2"/>
    </x:row>
    <x:row r="4" ht="23" customHeight="1">
      <x:c r="A4" s="2"/>
      <x:c r="B4" s="2"/>
      <x:c r="C4" s="2"/>
      <x:c r="D4" s="11"/>
      <x:c r="E4" s="2"/>
      <x:c r="F4" s="2"/>
    </x:row>
    <x:row r="5" ht="29" customHeight="1">
      <x:c r="A5" s="6" t="str">
        <x:v>1GW功率分配</x:v>
      </x:c>
      <x:c r="B5" s="6" t="str">
        <x:v>输入 / 计算值</x:v>
      </x:c>
      <x:c r="C5" s="6" t="str">
        <x:v>单位</x:v>
      </x:c>
      <x:c r="D5" s="27" t="str">
        <x:v>范围</x:v>
      </x:c>
      <x:c r="E5" s="2"/>
      <x:c r="F5" s="2"/>
    </x:row>
    <x:row r="6" ht="38" customHeight="1">
      <x:c r="A6" s="2" t="str">
        <x:v>设施总功率</x:v>
      </x:c>
      <x:c r="B6" s="9" t="n">
        <x:v>1000</x:v>
      </x:c>
      <x:c r="C6" s="2" t="str">
        <x:v>MW</x:v>
      </x:c>
      <x:c r="D6" s="11" t="str">
        <x:v>第5页脚注及第8页Exhibit 5，不是IT容量</x:v>
      </x:c>
      <x:c r="E6" s="2"/>
      <x:c r="F6" s="2"/>
    </x:row>
    <x:row r="7" ht="38" customHeight="1">
      <x:c r="A7" s="2" t="str">
        <x:v>PUE假设</x:v>
      </x:c>
      <x:c r="B7" s="9" t="n">
        <x:v>1.15</x:v>
      </x:c>
      <x:c r="C7" s="2" t="str"/>
      <x:c r="D7" s="11" t="str">
        <x:v>报告模型，不是实测</x:v>
      </x:c>
      <x:c r="E7" s="2"/>
      <x:c r="F7" s="2"/>
    </x:row>
    <x:row r="8" ht="38" customHeight="1">
      <x:c r="A8" s="2" t="str">
        <x:v>计算机柜占IT功率</x:v>
      </x:c>
      <x:c r="B8" s="10" t="n">
        <x:v>0.9</x:v>
      </x:c>
      <x:c r="C8" s="2" t="str"/>
      <x:c r="D8" s="11" t="str">
        <x:v>其余IT功率另列</x:v>
      </x:c>
      <x:c r="E8" s="2"/>
      <x:c r="F8" s="2"/>
    </x:row>
    <x:row r="9" ht="38" customHeight="1">
      <x:c r="A9" s="2" t="str">
        <x:v>单柜功率</x:v>
      </x:c>
      <x:c r="B9" s="9" t="n">
        <x:v>220</x:v>
      </x:c>
      <x:c r="C9" s="2" t="str">
        <x:v>kW</x:v>
      </x:c>
      <x:c r="D9" s="11" t="str">
        <x:v>报告假设，无冗余额定功率</x:v>
      </x:c>
      <x:c r="E9" s="2"/>
      <x:c r="F9" s="2"/>
    </x:row>
    <x:row r="10" ht="38" customHeight="1">
      <x:c r="A10" s="2" t="str">
        <x:v>全部IT功率</x:v>
      </x:c>
      <x:c r="B10" s="15" t="n">
        <x:f>IF(AND(COUNT(B6:B9)=4,B7&gt;0),B6/B7,NA())</x:f>
        <x:v>869.5652173913044</x:v>
      </x:c>
      <x:c r="C10" s="2" t="str">
        <x:v>MW</x:v>
      </x:c>
      <x:c r="D10" s="11" t="str">
        <x:v>总设施功率/PUE</x:v>
      </x:c>
      <x:c r="E10" s="2"/>
      <x:c r="F10" s="2"/>
    </x:row>
    <x:row r="11" ht="38" customHeight="1">
      <x:c r="A11" s="2" t="str">
        <x:v>计算机柜功率</x:v>
      </x:c>
      <x:c r="B11" s="15" t="n">
        <x:f>B10*B8</x:f>
        <x:v>782.608695652174</x:v>
      </x:c>
      <x:c r="C11" s="2" t="str">
        <x:v>MW</x:v>
      </x:c>
      <x:c r="D11" s="11" t="str">
        <x:v>IT功率×机柜占比</x:v>
      </x:c>
      <x:c r="E11" s="2"/>
      <x:c r="F11" s="2"/>
    </x:row>
    <x:row r="12" ht="38" customHeight="1">
      <x:c r="A12" s="2" t="str">
        <x:v>其他IT功率</x:v>
      </x:c>
      <x:c r="B12" s="15" t="n">
        <x:f>B10-B11</x:f>
        <x:v>86.95652173913038</x:v>
      </x:c>
      <x:c r="C12" s="2" t="str">
        <x:v>MW</x:v>
      </x:c>
      <x:c r="D12" s="11" t="str">
        <x:v>不包含在计算机柜中</x:v>
      </x:c>
      <x:c r="E12" s="2"/>
      <x:c r="F12" s="2"/>
    </x:row>
    <x:row r="13" ht="38" customHeight="1">
      <x:c r="A13" s="2" t="str">
        <x:v>设施开销功率</x:v>
      </x:c>
      <x:c r="B13" s="15" t="n">
        <x:f>B6-B10</x:f>
        <x:v>130.43478260869563</x:v>
      </x:c>
      <x:c r="C13" s="2" t="str">
        <x:v>MW</x:v>
      </x:c>
      <x:c r="D13" s="11" t="str">
        <x:v>不能全部称为冷却功率</x:v>
      </x:c>
      <x:c r="E13" s="2"/>
      <x:c r="F13" s="2"/>
    </x:row>
    <x:row r="14" ht="38" customHeight="1">
      <x:c r="A14" s="2" t="str">
        <x:v>可分配机柜数</x:v>
      </x:c>
      <x:c r="B14" s="15" t="n">
        <x:f>IF(B9&gt;0,B11*1000/B9,NA())</x:f>
        <x:v>3557.312252964427</x:v>
      </x:c>
      <x:c r="C14" s="2" t="str">
        <x:v>柜</x:v>
      </x:c>
      <x:c r="D14" s="11" t="str">
        <x:v>保留连续容量计算；报告显示3557柜，实际设计需取整</x:v>
      </x:c>
      <x:c r="E14" s="2"/>
      <x:c r="F14" s="2"/>
    </x:row>
    <x:row r="15" ht="38" customHeight="1">
      <x:c r="A15" s="2"/>
      <x:c r="B15" s="12"/>
      <x:c r="C15" s="2"/>
      <x:c r="D15" s="11"/>
      <x:c r="E15" s="2"/>
      <x:c r="F15" s="2"/>
    </x:row>
    <x:row r="16" ht="38" customHeight="1">
      <x:c r="A16" s="2"/>
      <x:c r="B16" s="12"/>
      <x:c r="C16" s="2"/>
      <x:c r="D16" s="11"/>
      <x:c r="E16" s="2"/>
      <x:c r="F16" s="2"/>
    </x:row>
    <x:row r="17" ht="38" customHeight="1">
      <x:c r="A17" s="2"/>
      <x:c r="B17" s="12"/>
      <x:c r="C17" s="2"/>
      <x:c r="D17" s="11"/>
      <x:c r="E17" s="2"/>
      <x:c r="F17" s="2"/>
    </x:row>
    <x:row r="18" ht="29" customHeight="1">
      <x:c r="A18" s="6" t="str">
        <x:v>Rubin机柜分项</x:v>
      </x:c>
      <x:c r="B18" s="29" t="str">
        <x:v>千美元</x:v>
      </x:c>
      <x:c r="C18" s="6" t="str">
        <x:v>单位 / 占比</x:v>
      </x:c>
      <x:c r="D18" s="27" t="str">
        <x:v>原表口径</x:v>
      </x:c>
      <x:c r="E18" s="2"/>
      <x:c r="F18" s="2"/>
    </x:row>
    <x:row r="19" ht="38" customHeight="1">
      <x:c r="A19" s="2" t="str">
        <x:v>GPU，不含HBM</x:v>
      </x:c>
      <x:c r="B19" s="37" t="n">
        <x:v>3960</x:v>
      </x:c>
      <x:c r="C19" s="13" t="n">
        <x:f>B19/$B$30</x:f>
        <x:v>0.43549983503794126</x:v>
      </x:c>
      <x:c r="D19" s="11" t="str">
        <x:v>第6页Exhibit 1，估计值；占比=本行/报告总额</x:v>
      </x:c>
      <x:c r="E19" s="2"/>
      <x:c r="F19" s="2"/>
    </x:row>
    <x:row r="20" ht="38" customHeight="1">
      <x:c r="A20" s="2" t="str">
        <x:v>HBM</x:v>
      </x:c>
      <x:c r="B20" s="37" t="n">
        <x:v>1093</x:v>
      </x:c>
      <x:c r="C20" s="13" t="n">
        <x:f>B20/$B$30</x:f>
        <x:v>0.1202023534587045</x:v>
      </x:c>
      <x:c r="D20" s="11" t="str">
        <x:v>第6页Exhibit 1，估计值；占比=本行/报告总额</x:v>
      </x:c>
      <x:c r="E20" s="2"/>
      <x:c r="F20" s="2"/>
    </x:row>
    <x:row r="21" ht="38" customHeight="1">
      <x:c r="A21" s="2" t="str">
        <x:v>CPU，不含DRAM</x:v>
      </x:c>
      <x:c r="B21" s="37" t="n">
        <x:v>180</x:v>
      </x:c>
      <x:c r="C21" s="13" t="n">
        <x:f>B21/$B$30</x:f>
        <x:v>0.01979544704717915</x:v>
      </x:c>
      <x:c r="D21" s="11" t="str">
        <x:v>第6页Exhibit 1，估计值；占比=本行/报告总额</x:v>
      </x:c>
      <x:c r="E21" s="2"/>
      <x:c r="F21" s="2"/>
    </x:row>
    <x:row r="22" ht="38" customHeight="1">
      <x:c r="A22" s="2" t="str">
        <x:v>CPU DRAM</x:v>
      </x:c>
      <x:c r="B22" s="37" t="n">
        <x:v>802</x:v>
      </x:c>
      <x:c r="C22" s="13" t="n">
        <x:f>B22/$B$30</x:f>
        <x:v>0.08819971406576488</x:v>
      </x:c>
      <x:c r="D22" s="11" t="str">
        <x:v>第6页Exhibit 1，估计值；占比=本行/报告总额</x:v>
      </x:c>
      <x:c r="E22" s="2"/>
      <x:c r="F22" s="2"/>
    </x:row>
    <x:row r="23" ht="38" customHeight="1">
      <x:c r="A23" s="2" t="str">
        <x:v>直连存储</x:v>
      </x:c>
      <x:c r="B23" s="37" t="n">
        <x:v>1282</x:v>
      </x:c>
      <x:c r="C23" s="13" t="n">
        <x:f>B23/$B$30</x:f>
        <x:v>0.1409875728582426</x:v>
      </x:c>
      <x:c r="D23" s="11" t="str">
        <x:v>第6页Exhibit 1，估计值；占比=本行/报告总额</x:v>
      </x:c>
      <x:c r="E23" s="2"/>
      <x:c r="F23" s="2"/>
    </x:row>
    <x:row r="24" ht="38" customHeight="1">
      <x:c r="A24" s="2" t="str">
        <x:v>网络</x:v>
      </x:c>
      <x:c r="B24" s="37" t="n">
        <x:v>1267</x:v>
      </x:c>
      <x:c r="C24" s="13" t="n">
        <x:f>B24/$B$30</x:f>
        <x:v>0.13933795227097767</x:v>
      </x:c>
      <x:c r="D24" s="11" t="str">
        <x:v>第6页Exhibit 1，估计值；占比=本行/报告总额</x:v>
      </x:c>
      <x:c r="E24" s="2"/>
      <x:c r="F24" s="2"/>
    </x:row>
    <x:row r="25" ht="38" customHeight="1">
      <x:c r="A25" s="2" t="str">
        <x:v>冷却</x:v>
      </x:c>
      <x:c r="B25" s="37" t="n">
        <x:v>158</x:v>
      </x:c>
      <x:c r="C25" s="13" t="n">
        <x:f>B25/$B$30</x:f>
        <x:v>0.017376003519190587</x:v>
      </x:c>
      <x:c r="D25" s="11" t="str">
        <x:v>第6页Exhibit 1，估计值；占比=本行/报告总额</x:v>
      </x:c>
      <x:c r="E25" s="2"/>
      <x:c r="F25" s="2"/>
    </x:row>
    <x:row r="26" ht="38" customHeight="1">
      <x:c r="A26" s="2" t="str">
        <x:v>电源</x:v>
      </x:c>
      <x:c r="B26" s="37" t="n">
        <x:v>150</x:v>
      </x:c>
      <x:c r="C26" s="13" t="n">
        <x:f>B26/$B$30</x:f>
        <x:v>0.01649620587264929</x:v>
      </x:c>
      <x:c r="D26" s="11" t="str">
        <x:v>第6页Exhibit 1，估计值；占比=本行/报告总额</x:v>
      </x:c>
      <x:c r="E26" s="2"/>
      <x:c r="F26" s="2"/>
    </x:row>
    <x:row r="27" ht="38" customHeight="1">
      <x:c r="A27" s="2" t="str">
        <x:v>机架</x:v>
      </x:c>
      <x:c r="B27" s="37" t="n">
        <x:v>100</x:v>
      </x:c>
      <x:c r="C27" s="13" t="n">
        <x:f>B27/$B$30</x:f>
        <x:v>0.010997470581766193</x:v>
      </x:c>
      <x:c r="D27" s="11" t="str">
        <x:v>第6页Exhibit 1，估计值；占比=本行/报告总额</x:v>
      </x:c>
      <x:c r="E27" s="2"/>
      <x:c r="F27" s="2"/>
    </x:row>
    <x:row r="28" ht="38" customHeight="1">
      <x:c r="A28" s="2" t="str">
        <x:v>其他</x:v>
      </x:c>
      <x:c r="B28" s="37" t="n">
        <x:v>100</x:v>
      </x:c>
      <x:c r="C28" s="13" t="n">
        <x:f>B28/$B$30</x:f>
        <x:v>0.010997470581766193</x:v>
      </x:c>
      <x:c r="D28" s="11" t="str">
        <x:v>第6页Exhibit 1，估计值；占比=本行/报告总额</x:v>
      </x:c>
      <x:c r="E28" s="2"/>
      <x:c r="F28" s="2"/>
    </x:row>
    <x:row r="29" ht="38" customHeight="1">
      <x:c r="A29" s="2" t="str">
        <x:v>展示分项合计</x:v>
      </x:c>
      <x:c r="B29" s="38" t="n">
        <x:f>SUM(B19:B28)</x:f>
        <x:v>9092</x:v>
      </x:c>
      <x:c r="C29" s="2" t="str">
        <x:v>千美元</x:v>
      </x:c>
      <x:c r="D29" s="11" t="str">
        <x:v>保留原表展示精度</x:v>
      </x:c>
      <x:c r="E29" s="2"/>
      <x:c r="F29" s="2"/>
    </x:row>
    <x:row r="30" ht="38" customHeight="1">
      <x:c r="A30" s="2" t="str">
        <x:v>报告展示总额</x:v>
      </x:c>
      <x:c r="B30" s="37" t="n">
        <x:v>9093</x:v>
      </x:c>
      <x:c r="C30" s="2" t="str">
        <x:v>千美元</x:v>
      </x:c>
      <x:c r="D30" s="11" t="str">
        <x:v>909.3万美元</x:v>
      </x:c>
      <x:c r="E30" s="2"/>
      <x:c r="F30" s="2"/>
    </x:row>
    <x:row r="31" ht="38" customHeight="1">
      <x:c r="A31" s="2" t="str">
        <x:v>总额与分项之差</x:v>
      </x:c>
      <x:c r="B31" s="38" t="n">
        <x:f>B30-B29</x:f>
        <x:v>1</x:v>
      </x:c>
      <x:c r="C31" s="2" t="str">
        <x:v>千美元</x:v>
      </x:c>
      <x:c r="D31" s="11" t="str">
        <x:v>不人为分配为某项物料</x:v>
      </x:c>
      <x:c r="E31" s="2"/>
      <x:c r="F31" s="2"/>
    </x:row>
    <x:row r="32" ht="38" customHeight="1">
      <x:c r="A32" s="2"/>
      <x:c r="B32" s="12"/>
      <x:c r="C32" s="2"/>
      <x:c r="D32" s="11"/>
      <x:c r="E32" s="2"/>
      <x:c r="F32" s="2"/>
    </x:row>
    <x:row r="33" ht="38" customHeight="1">
      <x:c r="A33" s="2"/>
      <x:c r="B33" s="12"/>
      <x:c r="C33" s="2"/>
      <x:c r="D33" s="11"/>
      <x:c r="E33" s="2"/>
      <x:c r="F33" s="2"/>
    </x:row>
    <x:row r="34" ht="29" customHeight="1">
      <x:c r="A34" s="6" t="str">
        <x:v>园区CapEx复算</x:v>
      </x:c>
      <x:c r="B34" s="29" t="str">
        <x:v>输入 / 计算值</x:v>
      </x:c>
      <x:c r="C34" s="6" t="str">
        <x:v>单位</x:v>
      </x:c>
      <x:c r="D34" s="27" t="str">
        <x:v>范围</x:v>
      </x:c>
      <x:c r="E34" s="2"/>
      <x:c r="F34" s="2"/>
    </x:row>
    <x:row r="35" ht="38" customHeight="1">
      <x:c r="A35" s="2" t="str">
        <x:v>报告机柜数</x:v>
      </x:c>
      <x:c r="B35" s="37" t="n">
        <x:v>3557</x:v>
      </x:c>
      <x:c r="C35" s="2" t="str">
        <x:v>柜</x:v>
      </x:c>
      <x:c r="D35" s="11" t="str">
        <x:v>原表第8页，已舍入</x:v>
      </x:c>
      <x:c r="E35" s="2"/>
      <x:c r="F35" s="2"/>
    </x:row>
    <x:row r="36" ht="38" customHeight="1">
      <x:c r="A36" s="2" t="str">
        <x:v>报告单柜估价</x:v>
      </x:c>
      <x:c r="B36" s="37" t="n">
        <x:v>9093000</x:v>
      </x:c>
      <x:c r="C36" s="2" t="str">
        <x:v>USD</x:v>
      </x:c>
      <x:c r="D36" s="11" t="str">
        <x:v>原表第6页，含设备及部分网络/存储分摊</x:v>
      </x:c>
      <x:c r="E36" s="2"/>
      <x:c r="F36" s="2"/>
    </x:row>
    <x:row r="37" ht="38" customHeight="1">
      <x:c r="A37" s="2" t="str">
        <x:v>机电设施</x:v>
      </x:c>
      <x:c r="B37" s="37" t="n">
        <x:v>11200000000</x:v>
      </x:c>
      <x:c r="C37" s="2" t="str">
        <x:v>USD</x:v>
      </x:c>
      <x:c r="D37" s="11" t="str">
        <x:v>原表第8页，勿与柜内机电重复分摊</x:v>
      </x:c>
      <x:c r="E37" s="2"/>
      <x:c r="F37" s="2"/>
    </x:row>
    <x:row r="38" ht="38" customHeight="1">
      <x:c r="A38" s="2" t="str">
        <x:v>土地与建筑</x:v>
      </x:c>
      <x:c r="B38" s="37" t="n">
        <x:v>3800000000</x:v>
      </x:c>
      <x:c r="C38" s="2" t="str">
        <x:v>USD</x:v>
      </x:c>
      <x:c r="D38" s="11" t="str">
        <x:v>原表第8页，土地建筑未进一步拆分</x:v>
      </x:c>
      <x:c r="E38" s="2"/>
      <x:c r="F38" s="2"/>
    </x:row>
    <x:row r="39" ht="38" customHeight="1">
      <x:c r="A39" s="2"/>
      <x:c r="B39" s="22"/>
      <x:c r="C39" s="2"/>
      <x:c r="D39" s="11"/>
      <x:c r="E39" s="2"/>
      <x:c r="F39" s="2"/>
    </x:row>
    <x:row r="40" ht="38" customHeight="1">
      <x:c r="A40" s="2" t="str">
        <x:v>机柜设备预算</x:v>
      </x:c>
      <x:c r="B40" s="38" t="n">
        <x:f>B35*B36</x:f>
        <x:v>32343801000</x:v>
      </x:c>
      <x:c r="C40" s="2" t="str">
        <x:v>USD</x:v>
      </x:c>
      <x:c r="D40" s="11" t="str">
        <x:v>数量×单价</x:v>
      </x:c>
      <x:c r="E40" s="2"/>
      <x:c r="F40" s="2"/>
    </x:row>
    <x:row r="41" ht="38" customHeight="1">
      <x:c r="A41" s="2" t="str">
        <x:v>物理设施预算</x:v>
      </x:c>
      <x:c r="B41" s="38" t="n">
        <x:f>SUM(B37:B38)</x:f>
        <x:v>15000000000</x:v>
      </x:c>
      <x:c r="C41" s="2" t="str">
        <x:v>USD</x:v>
      </x:c>
      <x:c r="D41" s="11" t="str">
        <x:v>外部物理设施合计</x:v>
      </x:c>
      <x:c r="E41" s="2"/>
      <x:c r="F41" s="2"/>
    </x:row>
    <x:row r="42" ht="38" customHeight="1">
      <x:c r="A42" s="2" t="str">
        <x:v>园区总预算</x:v>
      </x:c>
      <x:c r="B42" s="38" t="n">
        <x:f>B40+B41</x:f>
        <x:v>47343801000</x:v>
      </x:c>
      <x:c r="C42" s="2" t="str">
        <x:v>USD</x:v>
      </x:c>
      <x:c r="D42" s="11" t="str">
        <x:v>非实际合同或工程决算</x:v>
      </x:c>
      <x:c r="E42" s="2"/>
      <x:c r="F42" s="2"/>
    </x:row>
    <x:row r="43" ht="38" customHeight="1">
      <x:c r="A43" s="2"/>
      <x:c r="B43" s="12"/>
      <x:c r="C43" s="2"/>
      <x:c r="D43" s="11"/>
      <x:c r="E43" s="2"/>
      <x:c r="F43" s="2"/>
    </x:row>
    <x:row r="44" ht="29" customHeight="1">
      <x:c r="A44" s="6" t="str">
        <x:v>代际情景比较</x:v>
      </x:c>
      <x:c r="B44" s="29" t="str">
        <x:v>GB200</x:v>
      </x:c>
      <x:c r="C44" s="6" t="str">
        <x:v>Rubin</x:v>
      </x:c>
      <x:c r="D44" s="27" t="str">
        <x:v>相对变化</x:v>
      </x:c>
      <x:c r="E44" s="2"/>
      <x:c r="F44" s="2"/>
    </x:row>
    <x:row r="45" ht="38" customHeight="1">
      <x:c r="A45" s="2" t="str">
        <x:v>单柜估价 千美元</x:v>
      </x:c>
      <x:c r="B45" s="21" t="n">
        <x:v>4296</x:v>
      </x:c>
      <x:c r="C45" s="21" t="n">
        <x:v>9093</x:v>
      </x:c>
      <x:c r="D45" s="41" t="n">
        <x:f>C45/B45-1</x:f>
        <x:v>1.1166201117318435</x:v>
      </x:c>
      <x:c r="E45" s="2"/>
      <x:c r="F45" s="2"/>
    </x:row>
    <x:row r="46" ht="38" customHeight="1">
      <x:c r="A46" s="2" t="str">
        <x:v>单柜功率 kW</x:v>
      </x:c>
      <x:c r="B46" s="21" t="n">
        <x:v>132</x:v>
      </x:c>
      <x:c r="C46" s="21" t="n">
        <x:v>220</x:v>
      </x:c>
      <x:c r="D46" s="41" t="n">
        <x:f>C46/B46-1</x:f>
        <x:v>0.6666666666666667</x:v>
      </x:c>
      <x:c r="E46" s="2"/>
      <x:c r="F46" s="2"/>
    </x:row>
    <x:row r="47" ht="38" customHeight="1">
      <x:c r="A47" s="2" t="str">
        <x:v>每GW机柜数</x:v>
      </x:c>
      <x:c r="B47" s="21" t="n">
        <x:v>5929</x:v>
      </x:c>
      <x:c r="C47" s="21" t="n">
        <x:v>3557</x:v>
      </x:c>
      <x:c r="D47" s="41" t="n">
        <x:f>C47/B47-1</x:f>
        <x:v>-0.40006746500253</x:v>
      </x:c>
      <x:c r="E47" s="2"/>
      <x:c r="F47" s="2"/>
    </x:row>
    <x:row r="48" ht="38" customHeight="1">
      <x:c r="A48" s="2" t="str">
        <x:v>每GW总CapEx 十亿美元</x:v>
      </x:c>
      <x:c r="B48" s="21" t="n">
        <x:v>40.5</x:v>
      </x:c>
      <x:c r="C48" s="21" t="n">
        <x:v>47.3</x:v>
      </x:c>
      <x:c r="D48" s="41" t="n">
        <x:f>C48/B48-1</x:f>
        <x:v>0.16790123456790118</x:v>
      </x:c>
      <x:c r="E48" s="2"/>
      <x:c r="F48" s="2"/>
    </x:row>
    <x:row r="49" ht="38" customHeight="1">
      <x:c r="A49" s="2" t="str">
        <x:v>FP8 dense PFLOPS/柜</x:v>
      </x:c>
      <x:c r="B49" s="21" t="n">
        <x:v>360</x:v>
      </x:c>
      <x:c r="C49" s="21" t="n">
        <x:v>1260</x:v>
      </x:c>
      <x:c r="D49" s="41" t="n">
        <x:f>C49/B49-1</x:f>
        <x:v>2.5</x:v>
      </x:c>
      <x:c r="E49" s="2"/>
      <x:c r="F49" s="2"/>
    </x:row>
    <x:row r="50" ht="38" customHeight="1">
      <x:c r="A50" s="2" t="str">
        <x:v>理论FP8 dense EFLOPS/GW</x:v>
      </x:c>
      <x:c r="B50" s="18" t="n">
        <x:f>B47*B49/1000</x:f>
        <x:v>2134.44</x:v>
      </x:c>
      <x:c r="C50" s="18" t="n">
        <x:f>C47*C49/1000</x:f>
        <x:v>4481.82</x:v>
      </x:c>
      <x:c r="D50" s="41" t="n">
        <x:f>C50/B50-1</x:f>
        <x:v>1.099763872491145</x:v>
      </x:c>
      <x:c r="E50" s="2"/>
      <x:c r="F50" s="2"/>
    </x:row>
    <x:row r="51" ht="38" customHeight="1">
      <x:c r="A51" s="2" t="str">
        <x:v>理论EFLOPS/十亿美元</x:v>
      </x:c>
      <x:c r="B51" s="18" t="n">
        <x:f>B50/B48</x:f>
        <x:v>52.702222222222225</x:v>
      </x:c>
      <x:c r="C51" s="18" t="n">
        <x:f>C50/C48</x:f>
        <x:v>94.75306553911204</x:v>
      </x:c>
      <x:c r="D51" s="41" t="n">
        <x:f>C51/B51-1</x:f>
        <x:v>0.7978950705262446</x:v>
      </x:c>
      <x:c r="E51" s="2"/>
      <x:c r="F51" s="2"/>
    </x:row>
    <x:row r="52" ht="38" customHeight="1">
      <x:c r="A52" s="11" t="str">
        <x:v>成本取S23报告；FP8 dense取S25–26官方规格。理论峰值不是同等质量、时延下的实际服务吞吐。</x:v>
      </x:c>
      <x:c r="B52" s="40"/>
      <x:c r="C52" s="11"/>
      <x:c r="D52" s="11"/>
      <x:c r="E52" s="2"/>
      <x:c r="F52" s="2"/>
    </x:row>
    <x:row r="53" ht="38" customHeight="1">
      <x:c r="A53" s="2"/>
      <x:c r="B53" s="12"/>
      <x:c r="C53" s="2"/>
      <x:c r="D53" s="11"/>
      <x:c r="E53" s="2"/>
      <x:c r="F53" s="2"/>
    </x:row>
    <x:row r="54" ht="29" customHeight="1">
      <x:c r="A54" s="6" t="str">
        <x:v>HBM价格路径</x:v>
      </x:c>
      <x:c r="B54" s="29" t="str">
        <x:v>输入 / 计算值</x:v>
      </x:c>
      <x:c r="C54" s="6" t="str">
        <x:v>单位</x:v>
      </x:c>
      <x:c r="D54" s="27" t="str">
        <x:v>范围</x:v>
      </x:c>
      <x:c r="E54" s="2"/>
      <x:c r="F54" s="2"/>
    </x:row>
    <x:row r="55" ht="38" customHeight="1">
      <x:c r="A55" s="2" t="str">
        <x:v>历史参考单价</x:v>
      </x:c>
      <x:c r="B55" s="9" t="n">
        <x:v>16.63</x:v>
      </x:c>
      <x:c r="C55" s="2" t="str">
        <x:v>USD/GB</x:v>
      </x:c>
      <x:c r="D55" s="11" t="str">
        <x:v>报告第3页16.63，非本次现价查询</x:v>
      </x:c>
      <x:c r="E55" s="2"/>
      <x:c r="F55" s="2"/>
    </x:row>
    <x:row r="56" ht="38" customHeight="1">
      <x:c r="A56" s="2" t="str">
        <x:v>2027供货价预测</x:v>
      </x:c>
      <x:c r="B56" s="9" t="n">
        <x:v>48</x:v>
      </x:c>
      <x:c r="C56" s="2" t="str">
        <x:v>USD/GB</x:v>
      </x:c>
      <x:c r="D56" s="11" t="str">
        <x:v>报告估计48，非实际合同</x:v>
      </x:c>
      <x:c r="E56" s="2"/>
      <x:c r="F56" s="2"/>
    </x:row>
    <x:row r="57" ht="38" customHeight="1">
      <x:c r="A57" s="2" t="str">
        <x:v>假设加价比例</x:v>
      </x:c>
      <x:c r="B57" s="10" t="n">
        <x:v>0.1</x:v>
      </x:c>
      <x:c r="C57" s="2" t="str"/>
      <x:c r="D57" s="11" t="str">
        <x:v>报告假设约10%</x:v>
      </x:c>
      <x:c r="E57" s="2"/>
      <x:c r="F57" s="2"/>
    </x:row>
    <x:row r="58" ht="38" customHeight="1">
      <x:c r="A58" s="2" t="str">
        <x:v>客户端价格假设</x:v>
      </x:c>
      <x:c r="B58" s="15" t="n">
        <x:f>B56*(1+B57)</x:f>
        <x:v>52.800000000000004</x:v>
      </x:c>
      <x:c r="C58" s="2" t="str">
        <x:v>USD/GB</x:v>
      </x:c>
      <x:c r="D58" s="11" t="str">
        <x:v>52.8在报告正文取整为53</x:v>
      </x:c>
      <x:c r="E58" s="2"/>
      <x:c r="F58" s="2"/>
    </x:row>
    <x:row r="59" ht="38" customHeight="1">
      <x:c r="A59" s="2" t="str">
        <x:v>HBM容量</x:v>
      </x:c>
      <x:c r="B59" s="37" t="n">
        <x:v>20700</x:v>
      </x:c>
      <x:c r="C59" s="2" t="str">
        <x:v>GB</x:v>
      </x:c>
      <x:c r="D59" s="11" t="str">
        <x:v>20.7TB按十进制换算</x:v>
      </x:c>
      <x:c r="E59" s="2"/>
      <x:c r="F59" s="2"/>
    </x:row>
    <x:row r="60" ht="38" customHeight="1">
      <x:c r="A60" s="2" t="str">
        <x:v>历史价格情景成本</x:v>
      </x:c>
      <x:c r="B60" s="38" t="n">
        <x:f>B55*B59</x:f>
        <x:v>344241</x:v>
      </x:c>
      <x:c r="C60" s="2" t="str">
        <x:v>USD/柜</x:v>
      </x:c>
      <x:c r="D60" s="11" t="str">
        <x:v>只改变HBM单价</x:v>
      </x:c>
      <x:c r="E60" s="2"/>
      <x:c r="F60" s="2"/>
    </x:row>
    <x:row r="61" ht="38" customHeight="1">
      <x:c r="A61" s="2" t="str">
        <x:v>未来价格情景成本</x:v>
      </x:c>
      <x:c r="B61" s="38" t="n">
        <x:f>B58*B59</x:f>
        <x:v>1092960</x:v>
      </x:c>
      <x:c r="C61" s="2" t="str">
        <x:v>USD/柜</x:v>
      </x:c>
      <x:c r="D61" s="11" t="str">
        <x:v>原表约109.3万美元</x:v>
      </x:c>
      <x:c r="E61" s="2"/>
      <x:c r="F61" s="2"/>
    </x:row>
    <x:row r="62" ht="38" customHeight="1">
      <x:c r="A62" s="2" t="str">
        <x:v>单柜HBM价格差额</x:v>
      </x:c>
      <x:c r="B62" s="38" t="n">
        <x:f>B61-B60</x:f>
        <x:v>748719</x:v>
      </x:c>
      <x:c r="C62" s="2" t="str">
        <x:v>USD/柜</x:v>
      </x:c>
      <x:c r="D62" s="11" t="str">
        <x:v>与已有机柜总额不再重复相加</x:v>
      </x:c>
      <x:c r="E62" s="2"/>
      <x:c r="F62" s="2"/>
    </x:row>
    <x:row r="63" ht="38" customHeight="1">
      <x:c r="A63" s="2" t="str">
        <x:v>机柜群价格差额</x:v>
      </x:c>
      <x:c r="B63" s="38" t="n">
        <x:f>B62*B35</x:f>
        <x:v>2663193483</x:v>
      </x:c>
      <x:c r="C63" s="2" t="str">
        <x:v>USD</x:v>
      </x:c>
      <x:c r="D63" s="11" t="str">
        <x:v>机柜数量固定3557</x:v>
      </x:c>
      <x:c r="E63" s="2"/>
      <x:c r="F63" s="2"/>
    </x:row>
    <x:row r="64" ht="38" customHeight="1">
      <x:c r="A64" s="2"/>
      <x:c r="B64" s="12"/>
      <x:c r="C64" s="2"/>
      <x:c r="D64" s="11"/>
      <x:c r="E64" s="2"/>
      <x:c r="F64" s="2"/>
    </x:row>
    <x:row r="65" ht="29" customHeight="1">
      <x:c r="A65" s="6" t="str">
        <x:v>Rubin网络分项</x:v>
      </x:c>
      <x:c r="B65" s="29" t="str">
        <x:v>千美元</x:v>
      </x:c>
      <x:c r="C65" s="6" t="str">
        <x:v>单位</x:v>
      </x:c>
      <x:c r="D65" s="27" t="str">
        <x:v>范围</x:v>
      </x:c>
      <x:c r="E65" s="2"/>
      <x:c r="F65" s="2"/>
    </x:row>
    <x:row r="66" ht="38" customHeight="1">
      <x:c r="A66" s="2" t="str">
        <x:v>NVLink交换</x:v>
      </x:c>
      <x:c r="B66" s="37" t="n">
        <x:v>253</x:v>
      </x:c>
      <x:c r="C66" s="2" t="str">
        <x:v>千美元</x:v>
      </x:c>
      <x:c r="D66" s="11" t="str">
        <x:v>S23，第6页Exhibit 1；按柜分摊</x:v>
      </x:c>
      <x:c r="E66" s="2"/>
      <x:c r="F66" s="2"/>
    </x:row>
    <x:row r="67" ht="38" customHeight="1">
      <x:c r="A67" s="2" t="str">
        <x:v>线缆</x:v>
      </x:c>
      <x:c r="B67" s="37" t="n">
        <x:v>238</x:v>
      </x:c>
      <x:c r="C67" s="2" t="str">
        <x:v>千美元</x:v>
      </x:c>
      <x:c r="D67" s="11" t="str">
        <x:v>S23，第6页Exhibit 1；按柜分摊</x:v>
      </x:c>
      <x:c r="E67" s="2"/>
      <x:c r="F67" s="2"/>
    </x:row>
    <x:row r="68" ht="38" customHeight="1">
      <x:c r="A68" s="2" t="str">
        <x:v>背板与其他</x:v>
      </x:c>
      <x:c r="B68" s="37" t="n">
        <x:v>380</x:v>
      </x:c>
      <x:c r="C68" s="2" t="str">
        <x:v>千美元</x:v>
      </x:c>
      <x:c r="D68" s="11" t="str">
        <x:v>S23，第6页Exhibit 1；按柜分摊</x:v>
      </x:c>
      <x:c r="E68" s="2"/>
      <x:c r="F68" s="2"/>
    </x:row>
    <x:row r="69" ht="38" customHeight="1">
      <x:c r="A69" s="2" t="str">
        <x:v>Spectrum-X交换</x:v>
      </x:c>
      <x:c r="B69" s="37" t="n">
        <x:v>198</x:v>
      </x:c>
      <x:c r="C69" s="2" t="str">
        <x:v>千美元</x:v>
      </x:c>
      <x:c r="D69" s="11" t="str">
        <x:v>S23，第6页Exhibit 1；按柜分摊</x:v>
      </x:c>
      <x:c r="E69" s="2"/>
      <x:c r="F69" s="2"/>
    </x:row>
    <x:row r="70" ht="38" customHeight="1">
      <x:c r="A70" s="2" t="str">
        <x:v>其他以太网</x:v>
      </x:c>
      <x:c r="B70" s="37" t="n">
        <x:v>198</x:v>
      </x:c>
      <x:c r="C70" s="2" t="str">
        <x:v>千美元</x:v>
      </x:c>
      <x:c r="D70" s="11" t="str">
        <x:v>S23，第6页Exhibit 1；按柜分摊</x:v>
      </x:c>
      <x:c r="E70" s="2"/>
      <x:c r="F70" s="2"/>
    </x:row>
    <x:row r="71" ht="38" customHeight="1">
      <x:c r="A71" s="2" t="str">
        <x:v>Scale-up合计</x:v>
      </x:c>
      <x:c r="B71" s="38" t="n">
        <x:f>SUM(B66:B68)</x:f>
        <x:v>871</x:v>
      </x:c>
      <x:c r="C71" s="2" t="str">
        <x:v>千美元</x:v>
      </x:c>
      <x:c r="D71" s="11" t="str">
        <x:v>NVLink、线缆、背板及其他</x:v>
      </x:c>
      <x:c r="E71" s="2"/>
      <x:c r="F71" s="2"/>
    </x:row>
    <x:row r="72" ht="38" customHeight="1">
      <x:c r="A72" s="2" t="str">
        <x:v>Scale-out合计</x:v>
      </x:c>
      <x:c r="B72" s="38" t="n">
        <x:f>SUM(B69:B70)</x:f>
        <x:v>396</x:v>
      </x:c>
      <x:c r="C72" s="2" t="str">
        <x:v>千美元</x:v>
      </x:c>
      <x:c r="D72" s="11" t="str">
        <x:v>交换与其他以太网部分</x:v>
      </x:c>
      <x:c r="E72" s="2"/>
      <x:c r="F72" s="2"/>
    </x:row>
    <x:row r="73" ht="38" customHeight="1">
      <x:c r="A73" s="2" t="str">
        <x:v>网络预算合计</x:v>
      </x:c>
      <x:c r="B73" s="38" t="n">
        <x:f>B71+B72</x:f>
        <x:v>1267</x:v>
      </x:c>
      <x:c r="C73" s="2" t="str">
        <x:v>千美元</x:v>
      </x:c>
      <x:c r="D73" s="11" t="str">
        <x:v>不与B24网络分项重复计入</x:v>
      </x:c>
      <x:c r="E73" s="2"/>
      <x:c r="F73" s="2"/>
    </x:row>
    <x:row r="74" ht="38" customHeight="1">
      <x:c r="A74" s="2"/>
      <x:c r="B74" s="12"/>
      <x:c r="C74" s="2"/>
      <x:c r="D74" s="11"/>
      <x:c r="E74" s="2"/>
      <x:c r="F74" s="2"/>
    </x:row>
    <x:row r="75" ht="29" customHeight="1">
      <x:c r="A75" s="6" t="str">
        <x:v>机柜部件 千美元</x:v>
      </x:c>
      <x:c r="B75" s="29" t="str">
        <x:v>GB200</x:v>
      </x:c>
      <x:c r="C75" s="6" t="str">
        <x:v>Rubin</x:v>
      </x:c>
      <x:c r="D75" s="27" t="str">
        <x:v>Rubin / GB200</x:v>
      </x:c>
      <x:c r="E75" s="2"/>
      <x:c r="F75" s="2"/>
    </x:row>
    <x:row r="76" ht="38" customHeight="1">
      <x:c r="A76" s="2" t="str">
        <x:v>机柜电源</x:v>
      </x:c>
      <x:c r="B76" s="22" t="n">
        <x:v>44</x:v>
      </x:c>
      <x:c r="C76" s="22" t="n">
        <x:v>150</x:v>
      </x:c>
      <x:c r="D76" s="42" t="n">
        <x:f>C76/B76</x:f>
        <x:v>3.409090909090909</x:v>
      </x:c>
      <x:c r="E76" s="2"/>
      <x:c r="F76" s="2"/>
    </x:row>
    <x:row r="77" ht="38" customHeight="1">
      <x:c r="A77" s="2" t="str">
        <x:v>机柜冷却</x:v>
      </x:c>
      <x:c r="B77" s="22" t="n">
        <x:v>51</x:v>
      </x:c>
      <x:c r="C77" s="22" t="n">
        <x:v>158</x:v>
      </x:c>
      <x:c r="D77" s="42" t="n">
        <x:f>C77/B77</x:f>
        <x:v>3.0980392156862746</x:v>
      </x:c>
      <x:c r="E77" s="2"/>
      <x:c r="F77" s="2"/>
    </x:row>
    <x:row r="78" ht="38" customHeight="1">
      <x:c r="A78" s="2"/>
      <x:c r="B78" s="12"/>
      <x:c r="C78" s="2"/>
      <x:c r="D78" s="11"/>
      <x:c r="E78" s="2"/>
      <x:c r="F78" s="2"/>
    </x:row>
    <x:row r="79" ht="38" customHeight="1">
      <x:c r="A79" s="11" t="str">
        <x:v>部件预算是报告估计；增长不全归因于800V。园区变电站、冷站及其冗余另按设施预算核对。</x:v>
      </x:c>
      <x:c r="B79" s="40"/>
      <x:c r="C79" s="11"/>
      <x:c r="D79" s="11"/>
      <x:c r="E79" s="2"/>
      <x:c r="F79" s="2"/>
    </x:row>
    <x:row r="80" ht="38" customHeight="1">
      <x:c r="A80" s="2"/>
      <x:c r="B80" s="12"/>
      <x:c r="C80" s="2"/>
      <x:c r="D80" s="11"/>
      <x:c r="E80" s="2"/>
      <x:c r="F80" s="2"/>
    </x:row>
    <x:row r="81" ht="29" customHeight="1">
      <x:c r="A81" s="6" t="str">
        <x:v>PUE独立敏感性</x:v>
      </x:c>
      <x:c r="B81" s="29" t="str">
        <x:v>可分配机柜数</x:v>
      </x:c>
      <x:c r="C81" s="6" t="str">
        <x:v>机柜USD</x:v>
      </x:c>
      <x:c r="D81" s="27" t="str">
        <x:v>园区USD</x:v>
      </x:c>
      <x:c r="E81" s="2"/>
      <x:c r="F81" s="2"/>
    </x:row>
    <x:row r="82" ht="38" customHeight="1">
      <x:c r="A82" s="18" t="n">
        <x:v>1.15</x:v>
      </x:c>
      <x:c r="B82" s="18" t="n">
        <x:f>$B$6*1000/A82*$B$8/$B$9</x:f>
        <x:v>3557.3122529644274</x:v>
      </x:c>
      <x:c r="C82" s="22" t="n">
        <x:f>B82*$B$36</x:f>
        <x:v>32346640316.20554</x:v>
      </x:c>
      <x:c r="D82" s="43" t="n">
        <x:f>C82+$B$41</x:f>
        <x:v>47346640316.205536</x:v>
      </x:c>
      <x:c r="E82" s="2"/>
      <x:c r="F82" s="2"/>
    </x:row>
    <x:row r="83" ht="38" customHeight="1">
      <x:c r="A83" s="18" t="n">
        <x:v>1.25</x:v>
      </x:c>
      <x:c r="B83" s="18" t="n">
        <x:f>$B$6*1000/A83*$B$8/$B$9</x:f>
        <x:v>3272.7272727272725</x:v>
      </x:c>
      <x:c r="C83" s="22" t="n">
        <x:f>B83*$B$36</x:f>
        <x:v>29758909090.90909</x:v>
      </x:c>
      <x:c r="D83" s="43" t="n">
        <x:f>C83+$B$41</x:f>
        <x:v>44758909090.90909</x:v>
      </x:c>
      <x:c r="E83" s="2"/>
      <x:c r="F83" s="2"/>
    </x:row>
    <x:row r="84" ht="38" customHeight="1">
      <x:c r="A84" s="18" t="n">
        <x:v>1.4</x:v>
      </x:c>
      <x:c r="B84" s="18" t="n">
        <x:f>$B$6*1000/A84*$B$8/$B$9</x:f>
        <x:v>2922.0779220779227</x:v>
      </x:c>
      <x:c r="C84" s="22" t="n">
        <x:f>B84*$B$36</x:f>
        <x:v>26570454545.45455</x:v>
      </x:c>
      <x:c r="D84" s="43" t="n">
        <x:f>C84+$B$41</x:f>
        <x:v>41570454545.45455</x:v>
      </x:c>
      <x:c r="E84" s="2"/>
      <x:c r="F84" s="2"/>
    </x:row>
    <x:row r="85" ht="38" customHeight="1">
      <x:c r="A85" s="2"/>
      <x:c r="B85" s="12"/>
      <x:c r="C85" s="2"/>
      <x:c r="D85" s="11"/>
      <x:c r="E85" s="2"/>
      <x:c r="F85" s="2"/>
    </x:row>
    <x:row r="86" ht="38" customHeight="1">
      <x:c r="A86" s="11" t="str">
        <x:v>敏感性固定1GW、单柜功率、机柜估价和设施预算，仅改变PUE；连续容量算例不含提高能效的改造成本。</x:v>
      </x:c>
      <x:c r="B86" s="40"/>
      <x:c r="C86" s="11"/>
      <x:c r="D86" s="11"/>
      <x:c r="E86" s="2"/>
      <x:c r="F86" s="2"/>
    </x:row>
    <x:row r="87" ht="23" customHeight="1">
      <x:c r="A87" s="2"/>
      <x:c r="B87" s="2"/>
      <x:c r="C87" s="2"/>
      <x:c r="D87" s="11"/>
      <x:c r="E87" s="2"/>
      <x:c r="F87" s="2"/>
    </x:row>
    <x:row r="88" ht="23" customHeight="1">
      <x:c r="A88" s="2"/>
      <x:c r="B88" s="2"/>
      <x:c r="C88" s="2"/>
      <x:c r="D88" s="11"/>
      <x:c r="E88" s="2"/>
      <x:c r="F88" s="2"/>
    </x:row>
    <x:row r="89" ht="23" customHeight="1">
      <x:c r="A89" s="2"/>
      <x:c r="B89" s="2"/>
      <x:c r="C89" s="2"/>
      <x:c r="D89" s="11"/>
      <x:c r="E89" s="2"/>
      <x:c r="F89" s="2"/>
    </x:row>
    <x:row r="90" ht="23" customHeight="1">
      <x:c r="A90" s="2"/>
      <x:c r="B90" s="2"/>
      <x:c r="C90" s="2"/>
      <x:c r="D90" s="11"/>
      <x:c r="E90" s="2"/>
      <x:c r="F90" s="2"/>
    </x:row>
    <x:row r="91" ht="23" customHeight="1">
      <x:c r="A91" s="2"/>
      <x:c r="B91" s="2"/>
      <x:c r="C91" s="2"/>
      <x:c r="D91" s="11"/>
      <x:c r="E91" s="2"/>
      <x:c r="F91" s="2"/>
    </x:row>
    <x:row r="92" ht="23" customHeight="1">
      <x:c r="A92" s="2"/>
      <x:c r="B92" s="2"/>
      <x:c r="C92" s="2"/>
      <x:c r="D92" s="11"/>
      <x:c r="E92" s="2"/>
      <x:c r="F92" s="2"/>
    </x:row>
  </x:sheetData>
  <x:mergeCells>
    <x:mergeCell ref="A3:D3"/>
    <x:mergeCell ref="A52:D52"/>
    <x:mergeCell ref="A79:D79"/>
    <x:mergeCell ref="A86:D86"/>
  </x:mergeCells>
  <x:pageMargins left="0.7" right="0.7" top="0.75" bottom="0.75" header="0.3" footer="0.3"/>
</x:worksheet>
</file>